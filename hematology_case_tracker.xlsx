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入院患者" sheetId="1" state="visible" r:id="rId1"/>
    <sheet name="_Lists" sheetId="2" state="hidden" r:id="rId2"/>
    <sheet name="他科コンサルト" sheetId="3" state="visible" r:id="rId3"/>
    <sheet name="初診外来" sheetId="4" state="visible" r:id="rId4"/>
    <sheet name="サマリー" sheetId="5" state="visible" r:id="rId5"/>
  </sheets>
  <definedNames>
    <definedName name="sex">'_Lists'!$A$2:$A$3</definedName>
    <definedName name="ps">'_Lists'!$B$2:$B$6</definedName>
    <definedName name="disease">'_Lists'!$C$2:$C$29</definedName>
    <definedName name="label">'_Lists'!$D$2:$D$10</definedName>
    <definedName name="followup">'_Lists'!$E$2:$E$4</definedName>
    <definedName name="stage">'_Lists'!$F$2:$F$14</definedName>
    <definedName name="status">'_Lists'!$G$2:$G$4</definedName>
    <definedName name="urgency">'_Lists'!$H$2:$H$3</definedName>
    <definedName name="outcome">'_Lists'!$I$2:$I$12</definedName>
    <definedName name="regimen">'_Lists'!$J$2:$J$46</definedName>
    <definedName name="cytogenetics">'_Lists'!$K$2:$K$29</definedName>
    <definedName name="gene">'_Lists'!$L$2:$L$29</definedName>
    <definedName name="risk">'_Lists'!$M$2:$M$9</definedName>
    <definedName name="dept">'_Lists'!$N$2:$N$24</definedName>
    <definedName name="_xlnm._FilterDatabase" localSheetId="0" hidden="1">'入院患者'!$A$2:$R$2</definedName>
    <definedName name="_xlnm.Print_Titles" localSheetId="0">'入院患者'!$1:$2</definedName>
    <definedName name="_xlnm._FilterDatabase" localSheetId="2" hidden="1">'他科コンサルト'!$A$2:$L$2</definedName>
    <definedName name="_xlnm.Print_Titles" localSheetId="2">'他科コンサルト'!$1:$2</definedName>
    <definedName name="_xlnm._FilterDatabase" localSheetId="3" hidden="1">'初診外来'!$A$2:$Q$2</definedName>
    <definedName name="_xlnm.Print_Titles" localSheetId="3">'初診外来'!$1:$2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0000000"/>
    <numFmt numFmtId="165" formatCode="YYYY/MM/DD"/>
  </numFmts>
  <fonts count="7">
    <font>
      <name val="Calibri"/>
      <family val="2"/>
      <color theme="1"/>
      <sz val="11"/>
      <scheme val="minor"/>
    </font>
    <font>
      <name val="Meiryo"/>
      <b val="1"/>
      <color rgb="00FFFFFF"/>
      <sz val="10"/>
    </font>
    <font>
      <name val="Meiryo"/>
      <b val="1"/>
      <color rgb="00FFFFFF"/>
      <sz val="11"/>
    </font>
    <font>
      <name val="Meiryo"/>
      <sz val="11"/>
    </font>
    <font>
      <name val="Meiryo"/>
      <b val="1"/>
      <color rgb="001A365D"/>
      <sz val="14"/>
    </font>
    <font>
      <name val="Meiryo"/>
      <b val="1"/>
      <color rgb="002B5797"/>
      <sz val="11"/>
    </font>
    <font>
      <name val="Meiryo"/>
      <b val="1"/>
      <sz val="11"/>
    </font>
  </fonts>
  <fills count="19">
    <fill>
      <patternFill/>
    </fill>
    <fill>
      <patternFill patternType="gray125"/>
    </fill>
    <fill>
      <patternFill patternType="solid">
        <fgColor rgb="002B5797"/>
        <bgColor rgb="002B5797"/>
      </patternFill>
    </fill>
    <fill>
      <patternFill patternType="solid">
        <fgColor rgb="003A6DB5"/>
        <bgColor rgb="003A6DB5"/>
      </patternFill>
    </fill>
    <fill>
      <patternFill patternType="solid">
        <fgColor rgb="005B9BD5"/>
        <bgColor rgb="005B9BD5"/>
      </patternFill>
    </fill>
    <fill>
      <patternFill patternType="solid">
        <fgColor rgb="004472C4"/>
        <bgColor rgb="004472C4"/>
      </patternFill>
    </fill>
    <fill>
      <patternFill patternType="solid">
        <fgColor rgb="00F2F7FB"/>
        <bgColor rgb="00F2F7FB"/>
      </patternFill>
    </fill>
    <fill>
      <patternFill patternType="solid">
        <fgColor rgb="003B6B1E"/>
        <bgColor rgb="003B6B1E"/>
      </patternFill>
    </fill>
    <fill>
      <patternFill patternType="solid">
        <fgColor rgb="004E8A2D"/>
        <bgColor rgb="004E8A2D"/>
      </patternFill>
    </fill>
    <fill>
      <patternFill patternType="solid">
        <fgColor rgb="0070AD47"/>
        <bgColor rgb="0070AD47"/>
      </patternFill>
    </fill>
    <fill>
      <patternFill patternType="solid">
        <fgColor rgb="00548235"/>
        <bgColor rgb="00548235"/>
      </patternFill>
    </fill>
    <fill>
      <patternFill patternType="solid">
        <fgColor rgb="00F2F7F0"/>
        <bgColor rgb="00F2F7F0"/>
      </patternFill>
    </fill>
    <fill>
      <patternFill patternType="solid">
        <fgColor rgb="00A04000"/>
        <bgColor rgb="00A04000"/>
      </patternFill>
    </fill>
    <fill>
      <patternFill patternType="solid">
        <fgColor rgb="00BF6B30"/>
        <bgColor rgb="00BF6B30"/>
      </patternFill>
    </fill>
    <fill>
      <patternFill patternType="solid">
        <fgColor rgb="00D48B4E"/>
        <bgColor rgb="00D48B4E"/>
      </patternFill>
    </fill>
    <fill>
      <patternFill patternType="solid">
        <fgColor rgb="00C55A11"/>
        <bgColor rgb="00C55A11"/>
      </patternFill>
    </fill>
    <fill>
      <patternFill patternType="solid">
        <fgColor rgb="00FDF5EF"/>
        <bgColor rgb="00FDF5EF"/>
      </patternFill>
    </fill>
    <fill>
      <patternFill patternType="solid">
        <fgColor rgb="00D9E2F3"/>
        <bgColor rgb="00D9E2F3"/>
      </patternFill>
    </fill>
    <fill>
      <patternFill patternType="solid">
        <fgColor rgb="00D6DCE4"/>
        <bgColor rgb="00D6DCE4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2" fillId="5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center" vertical="center" wrapText="1"/>
    </xf>
    <xf numFmtId="164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165" fontId="3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1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1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2" fillId="10" borderId="1" applyAlignment="1" pivotButton="0" quotePrefix="0" xfId="0">
      <alignment horizontal="center" vertical="center" wrapText="1"/>
    </xf>
    <xf numFmtId="164" fontId="3" fillId="11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left" vertical="center" wrapText="1"/>
    </xf>
    <xf numFmtId="165" fontId="3" fillId="11" borderId="1" applyAlignment="1" pivotButton="0" quotePrefix="0" xfId="0">
      <alignment horizontal="center" vertical="center" wrapText="1"/>
    </xf>
    <xf numFmtId="0" fontId="1" fillId="12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1" fillId="13" borderId="1" applyAlignment="1" pivotButton="0" quotePrefix="0" xfId="0">
      <alignment horizontal="center" vertical="center" wrapText="1"/>
    </xf>
    <xf numFmtId="0" fontId="0" fillId="13" borderId="1" pivotButton="0" quotePrefix="0" xfId="0"/>
    <xf numFmtId="0" fontId="1" fillId="14" borderId="1" applyAlignment="1" pivotButton="0" quotePrefix="0" xfId="0">
      <alignment horizontal="center" vertical="center" wrapText="1"/>
    </xf>
    <xf numFmtId="0" fontId="0" fillId="14" borderId="1" pivotButton="0" quotePrefix="0" xfId="0"/>
    <xf numFmtId="0" fontId="2" fillId="15" borderId="1" applyAlignment="1" pivotButton="0" quotePrefix="0" xfId="0">
      <alignment horizontal="center" vertical="center" wrapText="1"/>
    </xf>
    <xf numFmtId="164" fontId="3" fillId="16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165" fontId="3" fillId="16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17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5">
    <dxf>
      <font>
        <name val="Meiryo"/>
        <b val="1"/>
        <color rgb="001F6E79"/>
        <sz val="11"/>
      </font>
      <fill>
        <patternFill patternType="solid">
          <fgColor rgb="00DAEEF3"/>
          <bgColor rgb="00DAEEF3"/>
        </patternFill>
      </fill>
    </dxf>
    <dxf>
      <font>
        <name val="Meiryo"/>
        <b val="1"/>
        <color rgb="00375623"/>
        <sz val="11"/>
      </font>
      <fill>
        <patternFill patternType="solid">
          <fgColor rgb="00E2EFDA"/>
          <bgColor rgb="00E2EFDA"/>
        </patternFill>
      </fill>
    </dxf>
    <dxf>
      <font>
        <name val="Meiryo"/>
        <b val="1"/>
        <color rgb="00C55A11"/>
        <sz val="11"/>
      </font>
      <fill>
        <patternFill patternType="solid">
          <fgColor rgb="00FCE4D6"/>
          <bgColor rgb="00FCE4D6"/>
        </patternFill>
      </fill>
    </dxf>
    <dxf>
      <font>
        <name val="Meiryo"/>
        <b val="1"/>
        <color rgb="002E5090"/>
        <sz val="11"/>
      </font>
      <fill>
        <patternFill patternType="solid">
          <fgColor rgb="00D9E2F3"/>
          <bgColor rgb="00D9E2F3"/>
        </patternFill>
      </fill>
    </dxf>
    <dxf>
      <font>
        <name val="Meiryo"/>
        <b val="1"/>
        <color rgb="006B3FA0"/>
        <sz val="11"/>
      </font>
      <fill>
        <patternFill patternType="solid">
          <fgColor rgb="00E2D9F3"/>
          <bgColor rgb="00E2D9F3"/>
        </patternFill>
      </fill>
    </dxf>
    <dxf>
      <font>
        <name val="Meiryo"/>
        <b val="1"/>
        <color rgb="00BF8F00"/>
        <sz val="11"/>
      </font>
      <fill>
        <patternFill patternType="solid">
          <fgColor rgb="00FFF2CC"/>
          <bgColor rgb="00FFF2CC"/>
        </patternFill>
      </fill>
    </dxf>
    <dxf>
      <font>
        <name val="Meiryo"/>
        <b val="1"/>
        <color rgb="00C05030"/>
        <sz val="11"/>
      </font>
      <fill>
        <patternFill patternType="solid">
          <fgColor rgb="00F8CBAD"/>
          <bgColor rgb="00F8CBAD"/>
        </patternFill>
      </fill>
    </dxf>
    <dxf>
      <font>
        <name val="Meiryo"/>
        <b val="1"/>
        <color rgb="0044546A"/>
        <sz val="11"/>
      </font>
      <fill>
        <patternFill patternType="solid">
          <fgColor rgb="00D6DCE4"/>
          <bgColor rgb="00D6DCE4"/>
        </patternFill>
      </fill>
    </dxf>
    <dxf>
      <font>
        <name val="Meiryo"/>
        <b val="1"/>
        <color rgb="00767171"/>
        <sz val="11"/>
      </font>
      <fill>
        <patternFill patternType="solid">
          <fgColor rgb="00E7E6E6"/>
          <bgColor rgb="00E7E6E6"/>
        </patternFill>
      </fill>
    </dxf>
    <dxf>
      <font>
        <name val="Meiryo"/>
        <b val="1"/>
        <color rgb="00C62828"/>
        <sz val="11"/>
      </font>
      <fill>
        <patternFill patternType="solid">
          <fgColor rgb="00FCE4EC"/>
          <bgColor rgb="00FCE4EC"/>
        </patternFill>
      </fill>
    </dxf>
    <dxf>
      <font>
        <name val="Meiryo"/>
        <b val="1"/>
        <color rgb="00006100"/>
        <sz val="11"/>
      </font>
      <fill>
        <patternFill patternType="solid">
          <fgColor rgb="00C6EFCE"/>
          <bgColor rgb="00C6EFCE"/>
        </patternFill>
      </fill>
    </dxf>
    <dxf>
      <font>
        <name val="Meiryo"/>
        <b val="1"/>
        <color rgb="004E8A2D"/>
        <sz val="11"/>
      </font>
      <fill>
        <patternFill patternType="solid">
          <fgColor rgb="00E2EFDA"/>
          <bgColor rgb="00E2EFDA"/>
        </patternFill>
      </fill>
    </dxf>
    <dxf>
      <font>
        <name val="Meiryo"/>
        <color rgb="00767171"/>
        <sz val="11"/>
      </font>
      <fill>
        <patternFill patternType="solid">
          <fgColor rgb="00E7E6E6"/>
          <bgColor rgb="00E7E6E6"/>
        </patternFill>
      </fill>
    </dxf>
    <dxf>
      <font>
        <name val="Meiryo"/>
        <color rgb="0044546A"/>
        <sz val="11"/>
      </font>
      <fill>
        <patternFill patternType="solid">
          <fgColor rgb="00D6DCE4"/>
          <bgColor rgb="00D6DCE4"/>
        </patternFill>
      </fill>
    </dxf>
    <dxf>
      <font>
        <name val="Meiryo"/>
        <color rgb="0044546A"/>
        <sz val="11"/>
      </font>
      <fill>
        <patternFill patternType="solid">
          <fgColor rgb="00F2F7FB"/>
          <bgColor rgb="00F2F7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R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20" customWidth="1" min="4" max="4"/>
    <col width="16" customWidth="1" min="5" max="5"/>
    <col width="22" customWidth="1" min="6" max="6"/>
    <col width="22" customWidth="1" min="7" max="7"/>
    <col width="16" customWidth="1" min="8" max="8"/>
    <col width="16" customWidth="1" min="9" max="9"/>
    <col width="16" customWidth="1" min="10" max="10"/>
    <col width="12" customWidth="1" min="11" max="11"/>
    <col width="10" customWidth="1" min="12" max="12"/>
    <col width="18" customWidth="1" min="13" max="13"/>
    <col width="28" customWidth="1" min="14" max="14"/>
    <col width="14" customWidth="1" min="15" max="15"/>
    <col width="12" customWidth="1" min="16" max="16"/>
    <col width="14" customWidth="1" min="17" max="17"/>
    <col width="40" customWidth="1" min="18" max="18"/>
  </cols>
  <sheetData>
    <row r="1">
      <c r="A1" s="1" t="inlineStr">
        <is>
          <t>患者情報</t>
        </is>
      </c>
      <c r="B1" s="2" t="n"/>
      <c r="C1" s="2" t="n"/>
      <c r="D1" s="3" t="inlineStr">
        <is>
          <t>臨床情報</t>
        </is>
      </c>
      <c r="E1" s="4" t="n"/>
      <c r="F1" s="4" t="n"/>
      <c r="G1" s="4" t="n"/>
      <c r="H1" s="4" t="n"/>
      <c r="I1" s="4" t="n"/>
      <c r="J1" s="4" t="n"/>
      <c r="K1" s="4" t="n"/>
      <c r="L1" s="5" t="inlineStr">
        <is>
          <t>治療</t>
        </is>
      </c>
      <c r="M1" s="6" t="n"/>
      <c r="N1" s="6" t="n"/>
      <c r="O1" s="6" t="n"/>
      <c r="P1" s="6" t="n"/>
      <c r="Q1" s="5" t="inlineStr">
        <is>
          <t>その他</t>
        </is>
      </c>
      <c r="R1" s="6" t="n"/>
    </row>
    <row r="2">
      <c r="A2" s="7" t="inlineStr">
        <is>
          <t>ID</t>
        </is>
      </c>
      <c r="B2" s="7" t="inlineStr">
        <is>
          <t>年齢</t>
        </is>
      </c>
      <c r="C2" s="7" t="inlineStr">
        <is>
          <t>性別</t>
        </is>
      </c>
      <c r="D2" s="7" t="inlineStr">
        <is>
          <t>疾患</t>
        </is>
      </c>
      <c r="E2" s="7" t="inlineStr">
        <is>
          <t>病期/Stage</t>
        </is>
      </c>
      <c r="F2" s="7" t="inlineStr">
        <is>
          <t>染色体</t>
        </is>
      </c>
      <c r="G2" s="7" t="inlineStr">
        <is>
          <t>遺伝子</t>
        </is>
      </c>
      <c r="H2" s="7" t="inlineStr">
        <is>
          <t>リスク分類</t>
        </is>
      </c>
      <c r="I2" s="7" t="inlineStr">
        <is>
          <t>入院日</t>
        </is>
      </c>
      <c r="J2" s="7" t="inlineStr">
        <is>
          <t>退院日</t>
        </is>
      </c>
      <c r="K2" s="7" t="inlineStr">
        <is>
          <t>在院日数</t>
        </is>
      </c>
      <c r="L2" s="7" t="inlineStr">
        <is>
          <t>PS</t>
        </is>
      </c>
      <c r="M2" s="7" t="inlineStr">
        <is>
          <t>治療区分</t>
        </is>
      </c>
      <c r="N2" s="7" t="inlineStr">
        <is>
          <t>治療レジメン</t>
        </is>
      </c>
      <c r="O2" s="7" t="inlineStr">
        <is>
          <t>サイクル数</t>
        </is>
      </c>
      <c r="P2" s="7" t="inlineStr">
        <is>
          <t>転帰</t>
        </is>
      </c>
      <c r="Q2" s="7" t="inlineStr">
        <is>
          <t>ステータス</t>
        </is>
      </c>
      <c r="R2" s="7" t="inlineStr">
        <is>
          <t>備考</t>
        </is>
      </c>
    </row>
    <row r="3">
      <c r="A3" s="8" t="n"/>
      <c r="B3" s="9" t="n"/>
      <c r="C3" s="9" t="n"/>
      <c r="D3" s="10" t="n"/>
      <c r="E3" s="10" t="n"/>
      <c r="F3" s="10" t="n"/>
      <c r="G3" s="10" t="n"/>
      <c r="H3" s="10" t="n"/>
      <c r="I3" s="11" t="n"/>
      <c r="J3" s="11" t="n"/>
      <c r="K3" s="9">
        <f>IF(AND(I3&lt;&gt;"",J3&lt;&gt;""),J3-I3,"")</f>
        <v/>
      </c>
      <c r="L3" s="10" t="n"/>
      <c r="M3" s="10" t="n"/>
      <c r="N3" s="10" t="n"/>
      <c r="O3" s="10" t="n"/>
      <c r="P3" s="10" t="n"/>
      <c r="Q3" s="10" t="n"/>
      <c r="R3" s="10" t="n"/>
    </row>
    <row r="4">
      <c r="A4" s="12" t="n"/>
      <c r="B4" s="13" t="n"/>
      <c r="C4" s="13" t="n"/>
      <c r="D4" s="14" t="n"/>
      <c r="E4" s="14" t="n"/>
      <c r="F4" s="14" t="n"/>
      <c r="G4" s="14" t="n"/>
      <c r="H4" s="14" t="n"/>
      <c r="I4" s="15" t="n"/>
      <c r="J4" s="15" t="n"/>
      <c r="K4" s="13">
        <f>IF(AND(I4&lt;&gt;"",J4&lt;&gt;""),J4-I4,"")</f>
        <v/>
      </c>
      <c r="L4" s="14" t="n"/>
      <c r="M4" s="14" t="n"/>
      <c r="N4" s="14" t="n"/>
      <c r="O4" s="14" t="n"/>
      <c r="P4" s="14" t="n"/>
      <c r="Q4" s="14" t="n"/>
      <c r="R4" s="14" t="n"/>
    </row>
    <row r="5">
      <c r="A5" s="8" t="n"/>
      <c r="B5" s="9" t="n"/>
      <c r="C5" s="9" t="n"/>
      <c r="D5" s="10" t="n"/>
      <c r="E5" s="10" t="n"/>
      <c r="F5" s="10" t="n"/>
      <c r="G5" s="10" t="n"/>
      <c r="H5" s="10" t="n"/>
      <c r="I5" s="11" t="n"/>
      <c r="J5" s="11" t="n"/>
      <c r="K5" s="9">
        <f>IF(AND(I5&lt;&gt;"",J5&lt;&gt;""),J5-I5,"")</f>
        <v/>
      </c>
      <c r="L5" s="10" t="n"/>
      <c r="M5" s="10" t="n"/>
      <c r="N5" s="10" t="n"/>
      <c r="O5" s="10" t="n"/>
      <c r="P5" s="10" t="n"/>
      <c r="Q5" s="10" t="n"/>
      <c r="R5" s="10" t="n"/>
    </row>
    <row r="6">
      <c r="A6" s="12" t="n"/>
      <c r="B6" s="13" t="n"/>
      <c r="C6" s="13" t="n"/>
      <c r="D6" s="14" t="n"/>
      <c r="E6" s="14" t="n"/>
      <c r="F6" s="14" t="n"/>
      <c r="G6" s="14" t="n"/>
      <c r="H6" s="14" t="n"/>
      <c r="I6" s="15" t="n"/>
      <c r="J6" s="15" t="n"/>
      <c r="K6" s="13">
        <f>IF(AND(I6&lt;&gt;"",J6&lt;&gt;""),J6-I6,"")</f>
        <v/>
      </c>
      <c r="L6" s="14" t="n"/>
      <c r="M6" s="14" t="n"/>
      <c r="N6" s="14" t="n"/>
      <c r="O6" s="14" t="n"/>
      <c r="P6" s="14" t="n"/>
      <c r="Q6" s="14" t="n"/>
      <c r="R6" s="14" t="n"/>
    </row>
    <row r="7">
      <c r="A7" s="8" t="n"/>
      <c r="B7" s="9" t="n"/>
      <c r="C7" s="9" t="n"/>
      <c r="D7" s="10" t="n"/>
      <c r="E7" s="10" t="n"/>
      <c r="F7" s="10" t="n"/>
      <c r="G7" s="10" t="n"/>
      <c r="H7" s="10" t="n"/>
      <c r="I7" s="11" t="n"/>
      <c r="J7" s="11" t="n"/>
      <c r="K7" s="9">
        <f>IF(AND(I7&lt;&gt;"",J7&lt;&gt;""),J7-I7,"")</f>
        <v/>
      </c>
      <c r="L7" s="10" t="n"/>
      <c r="M7" s="10" t="n"/>
      <c r="N7" s="10" t="n"/>
      <c r="O7" s="10" t="n"/>
      <c r="P7" s="10" t="n"/>
      <c r="Q7" s="10" t="n"/>
      <c r="R7" s="10" t="n"/>
    </row>
    <row r="8">
      <c r="A8" s="12" t="n"/>
      <c r="B8" s="13" t="n"/>
      <c r="C8" s="13" t="n"/>
      <c r="D8" s="14" t="n"/>
      <c r="E8" s="14" t="n"/>
      <c r="F8" s="14" t="n"/>
      <c r="G8" s="14" t="n"/>
      <c r="H8" s="14" t="n"/>
      <c r="I8" s="15" t="n"/>
      <c r="J8" s="15" t="n"/>
      <c r="K8" s="13">
        <f>IF(AND(I8&lt;&gt;"",J8&lt;&gt;""),J8-I8,"")</f>
        <v/>
      </c>
      <c r="L8" s="14" t="n"/>
      <c r="M8" s="14" t="n"/>
      <c r="N8" s="14" t="n"/>
      <c r="O8" s="14" t="n"/>
      <c r="P8" s="14" t="n"/>
      <c r="Q8" s="14" t="n"/>
      <c r="R8" s="14" t="n"/>
    </row>
    <row r="9">
      <c r="A9" s="8" t="n"/>
      <c r="B9" s="9" t="n"/>
      <c r="C9" s="9" t="n"/>
      <c r="D9" s="10" t="n"/>
      <c r="E9" s="10" t="n"/>
      <c r="F9" s="10" t="n"/>
      <c r="G9" s="10" t="n"/>
      <c r="H9" s="10" t="n"/>
      <c r="I9" s="11" t="n"/>
      <c r="J9" s="11" t="n"/>
      <c r="K9" s="9">
        <f>IF(AND(I9&lt;&gt;"",J9&lt;&gt;""),J9-I9,"")</f>
        <v/>
      </c>
      <c r="L9" s="10" t="n"/>
      <c r="M9" s="10" t="n"/>
      <c r="N9" s="10" t="n"/>
      <c r="O9" s="10" t="n"/>
      <c r="P9" s="10" t="n"/>
      <c r="Q9" s="10" t="n"/>
      <c r="R9" s="10" t="n"/>
    </row>
    <row r="10">
      <c r="A10" s="12" t="n"/>
      <c r="B10" s="13" t="n"/>
      <c r="C10" s="13" t="n"/>
      <c r="D10" s="14" t="n"/>
      <c r="E10" s="14" t="n"/>
      <c r="F10" s="14" t="n"/>
      <c r="G10" s="14" t="n"/>
      <c r="H10" s="14" t="n"/>
      <c r="I10" s="15" t="n"/>
      <c r="J10" s="15" t="n"/>
      <c r="K10" s="13">
        <f>IF(AND(I10&lt;&gt;"",J10&lt;&gt;""),J10-I10,"")</f>
        <v/>
      </c>
      <c r="L10" s="14" t="n"/>
      <c r="M10" s="14" t="n"/>
      <c r="N10" s="14" t="n"/>
      <c r="O10" s="14" t="n"/>
      <c r="P10" s="14" t="n"/>
      <c r="Q10" s="14" t="n"/>
      <c r="R10" s="14" t="n"/>
    </row>
    <row r="11">
      <c r="A11" s="8" t="n"/>
      <c r="B11" s="9" t="n"/>
      <c r="C11" s="9" t="n"/>
      <c r="D11" s="10" t="n"/>
      <c r="E11" s="10" t="n"/>
      <c r="F11" s="10" t="n"/>
      <c r="G11" s="10" t="n"/>
      <c r="H11" s="10" t="n"/>
      <c r="I11" s="11" t="n"/>
      <c r="J11" s="11" t="n"/>
      <c r="K11" s="9">
        <f>IF(AND(I11&lt;&gt;"",J11&lt;&gt;""),J11-I11,"")</f>
        <v/>
      </c>
      <c r="L11" s="10" t="n"/>
      <c r="M11" s="10" t="n"/>
      <c r="N11" s="10" t="n"/>
      <c r="O11" s="10" t="n"/>
      <c r="P11" s="10" t="n"/>
      <c r="Q11" s="10" t="n"/>
      <c r="R11" s="10" t="n"/>
    </row>
    <row r="12">
      <c r="A12" s="12" t="n"/>
      <c r="B12" s="13" t="n"/>
      <c r="C12" s="13" t="n"/>
      <c r="D12" s="14" t="n"/>
      <c r="E12" s="14" t="n"/>
      <c r="F12" s="14" t="n"/>
      <c r="G12" s="14" t="n"/>
      <c r="H12" s="14" t="n"/>
      <c r="I12" s="15" t="n"/>
      <c r="J12" s="15" t="n"/>
      <c r="K12" s="13">
        <f>IF(AND(I12&lt;&gt;"",J12&lt;&gt;""),J12-I12,"")</f>
        <v/>
      </c>
      <c r="L12" s="14" t="n"/>
      <c r="M12" s="14" t="n"/>
      <c r="N12" s="14" t="n"/>
      <c r="O12" s="14" t="n"/>
      <c r="P12" s="14" t="n"/>
      <c r="Q12" s="14" t="n"/>
      <c r="R12" s="14" t="n"/>
    </row>
    <row r="13">
      <c r="A13" s="8" t="n"/>
      <c r="B13" s="9" t="n"/>
      <c r="C13" s="9" t="n"/>
      <c r="D13" s="10" t="n"/>
      <c r="E13" s="10" t="n"/>
      <c r="F13" s="10" t="n"/>
      <c r="G13" s="10" t="n"/>
      <c r="H13" s="10" t="n"/>
      <c r="I13" s="11" t="n"/>
      <c r="J13" s="11" t="n"/>
      <c r="K13" s="9">
        <f>IF(AND(I13&lt;&gt;"",J13&lt;&gt;""),J13-I13,"")</f>
        <v/>
      </c>
      <c r="L13" s="10" t="n"/>
      <c r="M13" s="10" t="n"/>
      <c r="N13" s="10" t="n"/>
      <c r="O13" s="10" t="n"/>
      <c r="P13" s="10" t="n"/>
      <c r="Q13" s="10" t="n"/>
      <c r="R13" s="10" t="n"/>
    </row>
    <row r="14">
      <c r="A14" s="12" t="n"/>
      <c r="B14" s="13" t="n"/>
      <c r="C14" s="13" t="n"/>
      <c r="D14" s="14" t="n"/>
      <c r="E14" s="14" t="n"/>
      <c r="F14" s="14" t="n"/>
      <c r="G14" s="14" t="n"/>
      <c r="H14" s="14" t="n"/>
      <c r="I14" s="15" t="n"/>
      <c r="J14" s="15" t="n"/>
      <c r="K14" s="13">
        <f>IF(AND(I14&lt;&gt;"",J14&lt;&gt;""),J14-I14,"")</f>
        <v/>
      </c>
      <c r="L14" s="14" t="n"/>
      <c r="M14" s="14" t="n"/>
      <c r="N14" s="14" t="n"/>
      <c r="O14" s="14" t="n"/>
      <c r="P14" s="14" t="n"/>
      <c r="Q14" s="14" t="n"/>
      <c r="R14" s="14" t="n"/>
    </row>
    <row r="15">
      <c r="A15" s="8" t="n"/>
      <c r="B15" s="9" t="n"/>
      <c r="C15" s="9" t="n"/>
      <c r="D15" s="10" t="n"/>
      <c r="E15" s="10" t="n"/>
      <c r="F15" s="10" t="n"/>
      <c r="G15" s="10" t="n"/>
      <c r="H15" s="10" t="n"/>
      <c r="I15" s="11" t="n"/>
      <c r="J15" s="11" t="n"/>
      <c r="K15" s="9">
        <f>IF(AND(I15&lt;&gt;"",J15&lt;&gt;""),J15-I15,"")</f>
        <v/>
      </c>
      <c r="L15" s="10" t="n"/>
      <c r="M15" s="10" t="n"/>
      <c r="N15" s="10" t="n"/>
      <c r="O15" s="10" t="n"/>
      <c r="P15" s="10" t="n"/>
      <c r="Q15" s="10" t="n"/>
      <c r="R15" s="10" t="n"/>
    </row>
    <row r="16">
      <c r="A16" s="12" t="n"/>
      <c r="B16" s="13" t="n"/>
      <c r="C16" s="13" t="n"/>
      <c r="D16" s="14" t="n"/>
      <c r="E16" s="14" t="n"/>
      <c r="F16" s="14" t="n"/>
      <c r="G16" s="14" t="n"/>
      <c r="H16" s="14" t="n"/>
      <c r="I16" s="15" t="n"/>
      <c r="J16" s="15" t="n"/>
      <c r="K16" s="13">
        <f>IF(AND(I16&lt;&gt;"",J16&lt;&gt;""),J16-I16,"")</f>
        <v/>
      </c>
      <c r="L16" s="14" t="n"/>
      <c r="M16" s="14" t="n"/>
      <c r="N16" s="14" t="n"/>
      <c r="O16" s="14" t="n"/>
      <c r="P16" s="14" t="n"/>
      <c r="Q16" s="14" t="n"/>
      <c r="R16" s="14" t="n"/>
    </row>
    <row r="17">
      <c r="A17" s="8" t="n"/>
      <c r="B17" s="9" t="n"/>
      <c r="C17" s="9" t="n"/>
      <c r="D17" s="10" t="n"/>
      <c r="E17" s="10" t="n"/>
      <c r="F17" s="10" t="n"/>
      <c r="G17" s="10" t="n"/>
      <c r="H17" s="10" t="n"/>
      <c r="I17" s="11" t="n"/>
      <c r="J17" s="11" t="n"/>
      <c r="K17" s="9">
        <f>IF(AND(I17&lt;&gt;"",J17&lt;&gt;""),J17-I17,"")</f>
        <v/>
      </c>
      <c r="L17" s="10" t="n"/>
      <c r="M17" s="10" t="n"/>
      <c r="N17" s="10" t="n"/>
      <c r="O17" s="10" t="n"/>
      <c r="P17" s="10" t="n"/>
      <c r="Q17" s="10" t="n"/>
      <c r="R17" s="10" t="n"/>
    </row>
    <row r="18">
      <c r="A18" s="12" t="n"/>
      <c r="B18" s="13" t="n"/>
      <c r="C18" s="13" t="n"/>
      <c r="D18" s="14" t="n"/>
      <c r="E18" s="14" t="n"/>
      <c r="F18" s="14" t="n"/>
      <c r="G18" s="14" t="n"/>
      <c r="H18" s="14" t="n"/>
      <c r="I18" s="15" t="n"/>
      <c r="J18" s="15" t="n"/>
      <c r="K18" s="13">
        <f>IF(AND(I18&lt;&gt;"",J18&lt;&gt;""),J18-I18,"")</f>
        <v/>
      </c>
      <c r="L18" s="14" t="n"/>
      <c r="M18" s="14" t="n"/>
      <c r="N18" s="14" t="n"/>
      <c r="O18" s="14" t="n"/>
      <c r="P18" s="14" t="n"/>
      <c r="Q18" s="14" t="n"/>
      <c r="R18" s="14" t="n"/>
    </row>
    <row r="19">
      <c r="A19" s="8" t="n"/>
      <c r="B19" s="9" t="n"/>
      <c r="C19" s="9" t="n"/>
      <c r="D19" s="10" t="n"/>
      <c r="E19" s="10" t="n"/>
      <c r="F19" s="10" t="n"/>
      <c r="G19" s="10" t="n"/>
      <c r="H19" s="10" t="n"/>
      <c r="I19" s="11" t="n"/>
      <c r="J19" s="11" t="n"/>
      <c r="K19" s="9">
        <f>IF(AND(I19&lt;&gt;"",J19&lt;&gt;""),J19-I19,"")</f>
        <v/>
      </c>
      <c r="L19" s="10" t="n"/>
      <c r="M19" s="10" t="n"/>
      <c r="N19" s="10" t="n"/>
      <c r="O19" s="10" t="n"/>
      <c r="P19" s="10" t="n"/>
      <c r="Q19" s="10" t="n"/>
      <c r="R19" s="10" t="n"/>
    </row>
    <row r="20">
      <c r="A20" s="12" t="n"/>
      <c r="B20" s="13" t="n"/>
      <c r="C20" s="13" t="n"/>
      <c r="D20" s="14" t="n"/>
      <c r="E20" s="14" t="n"/>
      <c r="F20" s="14" t="n"/>
      <c r="G20" s="14" t="n"/>
      <c r="H20" s="14" t="n"/>
      <c r="I20" s="15" t="n"/>
      <c r="J20" s="15" t="n"/>
      <c r="K20" s="13">
        <f>IF(AND(I20&lt;&gt;"",J20&lt;&gt;""),J20-I20,"")</f>
        <v/>
      </c>
      <c r="L20" s="14" t="n"/>
      <c r="M20" s="14" t="n"/>
      <c r="N20" s="14" t="n"/>
      <c r="O20" s="14" t="n"/>
      <c r="P20" s="14" t="n"/>
      <c r="Q20" s="14" t="n"/>
      <c r="R20" s="14" t="n"/>
    </row>
    <row r="21">
      <c r="A21" s="8" t="n"/>
      <c r="B21" s="9" t="n"/>
      <c r="C21" s="9" t="n"/>
      <c r="D21" s="10" t="n"/>
      <c r="E21" s="10" t="n"/>
      <c r="F21" s="10" t="n"/>
      <c r="G21" s="10" t="n"/>
      <c r="H21" s="10" t="n"/>
      <c r="I21" s="11" t="n"/>
      <c r="J21" s="11" t="n"/>
      <c r="K21" s="9">
        <f>IF(AND(I21&lt;&gt;"",J21&lt;&gt;""),J21-I21,"")</f>
        <v/>
      </c>
      <c r="L21" s="10" t="n"/>
      <c r="M21" s="10" t="n"/>
      <c r="N21" s="10" t="n"/>
      <c r="O21" s="10" t="n"/>
      <c r="P21" s="10" t="n"/>
      <c r="Q21" s="10" t="n"/>
      <c r="R21" s="10" t="n"/>
    </row>
    <row r="22">
      <c r="A22" s="12" t="n"/>
      <c r="B22" s="13" t="n"/>
      <c r="C22" s="13" t="n"/>
      <c r="D22" s="14" t="n"/>
      <c r="E22" s="14" t="n"/>
      <c r="F22" s="14" t="n"/>
      <c r="G22" s="14" t="n"/>
      <c r="H22" s="14" t="n"/>
      <c r="I22" s="15" t="n"/>
      <c r="J22" s="15" t="n"/>
      <c r="K22" s="13">
        <f>IF(AND(I22&lt;&gt;"",J22&lt;&gt;""),J22-I22,"")</f>
        <v/>
      </c>
      <c r="L22" s="14" t="n"/>
      <c r="M22" s="14" t="n"/>
      <c r="N22" s="14" t="n"/>
      <c r="O22" s="14" t="n"/>
      <c r="P22" s="14" t="n"/>
      <c r="Q22" s="14" t="n"/>
      <c r="R22" s="14" t="n"/>
    </row>
    <row r="23">
      <c r="A23" s="8" t="n"/>
      <c r="B23" s="9" t="n"/>
      <c r="C23" s="9" t="n"/>
      <c r="D23" s="10" t="n"/>
      <c r="E23" s="10" t="n"/>
      <c r="F23" s="10" t="n"/>
      <c r="G23" s="10" t="n"/>
      <c r="H23" s="10" t="n"/>
      <c r="I23" s="11" t="n"/>
      <c r="J23" s="11" t="n"/>
      <c r="K23" s="9">
        <f>IF(AND(I23&lt;&gt;"",J23&lt;&gt;""),J23-I23,"")</f>
        <v/>
      </c>
      <c r="L23" s="10" t="n"/>
      <c r="M23" s="10" t="n"/>
      <c r="N23" s="10" t="n"/>
      <c r="O23" s="10" t="n"/>
      <c r="P23" s="10" t="n"/>
      <c r="Q23" s="10" t="n"/>
      <c r="R23" s="10" t="n"/>
    </row>
    <row r="24">
      <c r="A24" s="12" t="n"/>
      <c r="B24" s="13" t="n"/>
      <c r="C24" s="13" t="n"/>
      <c r="D24" s="14" t="n"/>
      <c r="E24" s="14" t="n"/>
      <c r="F24" s="14" t="n"/>
      <c r="G24" s="14" t="n"/>
      <c r="H24" s="14" t="n"/>
      <c r="I24" s="15" t="n"/>
      <c r="J24" s="15" t="n"/>
      <c r="K24" s="13">
        <f>IF(AND(I24&lt;&gt;"",J24&lt;&gt;""),J24-I24,"")</f>
        <v/>
      </c>
      <c r="L24" s="14" t="n"/>
      <c r="M24" s="14" t="n"/>
      <c r="N24" s="14" t="n"/>
      <c r="O24" s="14" t="n"/>
      <c r="P24" s="14" t="n"/>
      <c r="Q24" s="14" t="n"/>
      <c r="R24" s="14" t="n"/>
    </row>
    <row r="25">
      <c r="A25" s="8" t="n"/>
      <c r="B25" s="9" t="n"/>
      <c r="C25" s="9" t="n"/>
      <c r="D25" s="10" t="n"/>
      <c r="E25" s="10" t="n"/>
      <c r="F25" s="10" t="n"/>
      <c r="G25" s="10" t="n"/>
      <c r="H25" s="10" t="n"/>
      <c r="I25" s="11" t="n"/>
      <c r="J25" s="11" t="n"/>
      <c r="K25" s="9">
        <f>IF(AND(I25&lt;&gt;"",J25&lt;&gt;""),J25-I25,"")</f>
        <v/>
      </c>
      <c r="L25" s="10" t="n"/>
      <c r="M25" s="10" t="n"/>
      <c r="N25" s="10" t="n"/>
      <c r="O25" s="10" t="n"/>
      <c r="P25" s="10" t="n"/>
      <c r="Q25" s="10" t="n"/>
      <c r="R25" s="10" t="n"/>
    </row>
    <row r="26">
      <c r="A26" s="12" t="n"/>
      <c r="B26" s="13" t="n"/>
      <c r="C26" s="13" t="n"/>
      <c r="D26" s="14" t="n"/>
      <c r="E26" s="14" t="n"/>
      <c r="F26" s="14" t="n"/>
      <c r="G26" s="14" t="n"/>
      <c r="H26" s="14" t="n"/>
      <c r="I26" s="15" t="n"/>
      <c r="J26" s="15" t="n"/>
      <c r="K26" s="13">
        <f>IF(AND(I26&lt;&gt;"",J26&lt;&gt;""),J26-I26,"")</f>
        <v/>
      </c>
      <c r="L26" s="14" t="n"/>
      <c r="M26" s="14" t="n"/>
      <c r="N26" s="14" t="n"/>
      <c r="O26" s="14" t="n"/>
      <c r="P26" s="14" t="n"/>
      <c r="Q26" s="14" t="n"/>
      <c r="R26" s="14" t="n"/>
    </row>
    <row r="27">
      <c r="A27" s="8" t="n"/>
      <c r="B27" s="9" t="n"/>
      <c r="C27" s="9" t="n"/>
      <c r="D27" s="10" t="n"/>
      <c r="E27" s="10" t="n"/>
      <c r="F27" s="10" t="n"/>
      <c r="G27" s="10" t="n"/>
      <c r="H27" s="10" t="n"/>
      <c r="I27" s="11" t="n"/>
      <c r="J27" s="11" t="n"/>
      <c r="K27" s="9">
        <f>IF(AND(I27&lt;&gt;"",J27&lt;&gt;""),J27-I27,"")</f>
        <v/>
      </c>
      <c r="L27" s="10" t="n"/>
      <c r="M27" s="10" t="n"/>
      <c r="N27" s="10" t="n"/>
      <c r="O27" s="10" t="n"/>
      <c r="P27" s="10" t="n"/>
      <c r="Q27" s="10" t="n"/>
      <c r="R27" s="10" t="n"/>
    </row>
    <row r="28">
      <c r="A28" s="12" t="n"/>
      <c r="B28" s="13" t="n"/>
      <c r="C28" s="13" t="n"/>
      <c r="D28" s="14" t="n"/>
      <c r="E28" s="14" t="n"/>
      <c r="F28" s="14" t="n"/>
      <c r="G28" s="14" t="n"/>
      <c r="H28" s="14" t="n"/>
      <c r="I28" s="15" t="n"/>
      <c r="J28" s="15" t="n"/>
      <c r="K28" s="13">
        <f>IF(AND(I28&lt;&gt;"",J28&lt;&gt;""),J28-I28,"")</f>
        <v/>
      </c>
      <c r="L28" s="14" t="n"/>
      <c r="M28" s="14" t="n"/>
      <c r="N28" s="14" t="n"/>
      <c r="O28" s="14" t="n"/>
      <c r="P28" s="14" t="n"/>
      <c r="Q28" s="14" t="n"/>
      <c r="R28" s="14" t="n"/>
    </row>
    <row r="29">
      <c r="A29" s="8" t="n"/>
      <c r="B29" s="9" t="n"/>
      <c r="C29" s="9" t="n"/>
      <c r="D29" s="10" t="n"/>
      <c r="E29" s="10" t="n"/>
      <c r="F29" s="10" t="n"/>
      <c r="G29" s="10" t="n"/>
      <c r="H29" s="10" t="n"/>
      <c r="I29" s="11" t="n"/>
      <c r="J29" s="11" t="n"/>
      <c r="K29" s="9">
        <f>IF(AND(I29&lt;&gt;"",J29&lt;&gt;""),J29-I29,"")</f>
        <v/>
      </c>
      <c r="L29" s="10" t="n"/>
      <c r="M29" s="10" t="n"/>
      <c r="N29" s="10" t="n"/>
      <c r="O29" s="10" t="n"/>
      <c r="P29" s="10" t="n"/>
      <c r="Q29" s="10" t="n"/>
      <c r="R29" s="10" t="n"/>
    </row>
    <row r="30">
      <c r="A30" s="12" t="n"/>
      <c r="B30" s="13" t="n"/>
      <c r="C30" s="13" t="n"/>
      <c r="D30" s="14" t="n"/>
      <c r="E30" s="14" t="n"/>
      <c r="F30" s="14" t="n"/>
      <c r="G30" s="14" t="n"/>
      <c r="H30" s="14" t="n"/>
      <c r="I30" s="15" t="n"/>
      <c r="J30" s="15" t="n"/>
      <c r="K30" s="13">
        <f>IF(AND(I30&lt;&gt;"",J30&lt;&gt;""),J30-I30,"")</f>
        <v/>
      </c>
      <c r="L30" s="14" t="n"/>
      <c r="M30" s="14" t="n"/>
      <c r="N30" s="14" t="n"/>
      <c r="O30" s="14" t="n"/>
      <c r="P30" s="14" t="n"/>
      <c r="Q30" s="14" t="n"/>
      <c r="R30" s="14" t="n"/>
    </row>
    <row r="31">
      <c r="A31" s="8" t="n"/>
      <c r="B31" s="9" t="n"/>
      <c r="C31" s="9" t="n"/>
      <c r="D31" s="10" t="n"/>
      <c r="E31" s="10" t="n"/>
      <c r="F31" s="10" t="n"/>
      <c r="G31" s="10" t="n"/>
      <c r="H31" s="10" t="n"/>
      <c r="I31" s="11" t="n"/>
      <c r="J31" s="11" t="n"/>
      <c r="K31" s="9">
        <f>IF(AND(I31&lt;&gt;"",J31&lt;&gt;""),J31-I31,"")</f>
        <v/>
      </c>
      <c r="L31" s="10" t="n"/>
      <c r="M31" s="10" t="n"/>
      <c r="N31" s="10" t="n"/>
      <c r="O31" s="10" t="n"/>
      <c r="P31" s="10" t="n"/>
      <c r="Q31" s="10" t="n"/>
      <c r="R31" s="10" t="n"/>
    </row>
    <row r="32">
      <c r="A32" s="12" t="n"/>
      <c r="B32" s="13" t="n"/>
      <c r="C32" s="13" t="n"/>
      <c r="D32" s="14" t="n"/>
      <c r="E32" s="14" t="n"/>
      <c r="F32" s="14" t="n"/>
      <c r="G32" s="14" t="n"/>
      <c r="H32" s="14" t="n"/>
      <c r="I32" s="15" t="n"/>
      <c r="J32" s="15" t="n"/>
      <c r="K32" s="13">
        <f>IF(AND(I32&lt;&gt;"",J32&lt;&gt;""),J32-I32,"")</f>
        <v/>
      </c>
      <c r="L32" s="14" t="n"/>
      <c r="M32" s="14" t="n"/>
      <c r="N32" s="14" t="n"/>
      <c r="O32" s="14" t="n"/>
      <c r="P32" s="14" t="n"/>
      <c r="Q32" s="14" t="n"/>
      <c r="R32" s="14" t="n"/>
    </row>
    <row r="33">
      <c r="A33" s="8" t="n"/>
      <c r="B33" s="9" t="n"/>
      <c r="C33" s="9" t="n"/>
      <c r="D33" s="10" t="n"/>
      <c r="E33" s="10" t="n"/>
      <c r="F33" s="10" t="n"/>
      <c r="G33" s="10" t="n"/>
      <c r="H33" s="10" t="n"/>
      <c r="I33" s="11" t="n"/>
      <c r="J33" s="11" t="n"/>
      <c r="K33" s="9">
        <f>IF(AND(I33&lt;&gt;"",J33&lt;&gt;""),J33-I33,"")</f>
        <v/>
      </c>
      <c r="L33" s="10" t="n"/>
      <c r="M33" s="10" t="n"/>
      <c r="N33" s="10" t="n"/>
      <c r="O33" s="10" t="n"/>
      <c r="P33" s="10" t="n"/>
      <c r="Q33" s="10" t="n"/>
      <c r="R33" s="10" t="n"/>
    </row>
    <row r="34">
      <c r="A34" s="12" t="n"/>
      <c r="B34" s="13" t="n"/>
      <c r="C34" s="13" t="n"/>
      <c r="D34" s="14" t="n"/>
      <c r="E34" s="14" t="n"/>
      <c r="F34" s="14" t="n"/>
      <c r="G34" s="14" t="n"/>
      <c r="H34" s="14" t="n"/>
      <c r="I34" s="15" t="n"/>
      <c r="J34" s="15" t="n"/>
      <c r="K34" s="13">
        <f>IF(AND(I34&lt;&gt;"",J34&lt;&gt;""),J34-I34,"")</f>
        <v/>
      </c>
      <c r="L34" s="14" t="n"/>
      <c r="M34" s="14" t="n"/>
      <c r="N34" s="14" t="n"/>
      <c r="O34" s="14" t="n"/>
      <c r="P34" s="14" t="n"/>
      <c r="Q34" s="14" t="n"/>
      <c r="R34" s="14" t="n"/>
    </row>
    <row r="35">
      <c r="A35" s="8" t="n"/>
      <c r="B35" s="9" t="n"/>
      <c r="C35" s="9" t="n"/>
      <c r="D35" s="10" t="n"/>
      <c r="E35" s="10" t="n"/>
      <c r="F35" s="10" t="n"/>
      <c r="G35" s="10" t="n"/>
      <c r="H35" s="10" t="n"/>
      <c r="I35" s="11" t="n"/>
      <c r="J35" s="11" t="n"/>
      <c r="K35" s="9">
        <f>IF(AND(I35&lt;&gt;"",J35&lt;&gt;""),J35-I35,"")</f>
        <v/>
      </c>
      <c r="L35" s="10" t="n"/>
      <c r="M35" s="10" t="n"/>
      <c r="N35" s="10" t="n"/>
      <c r="O35" s="10" t="n"/>
      <c r="P35" s="10" t="n"/>
      <c r="Q35" s="10" t="n"/>
      <c r="R35" s="10" t="n"/>
    </row>
    <row r="36">
      <c r="A36" s="12" t="n"/>
      <c r="B36" s="13" t="n"/>
      <c r="C36" s="13" t="n"/>
      <c r="D36" s="14" t="n"/>
      <c r="E36" s="14" t="n"/>
      <c r="F36" s="14" t="n"/>
      <c r="G36" s="14" t="n"/>
      <c r="H36" s="14" t="n"/>
      <c r="I36" s="15" t="n"/>
      <c r="J36" s="15" t="n"/>
      <c r="K36" s="13">
        <f>IF(AND(I36&lt;&gt;"",J36&lt;&gt;""),J36-I36,"")</f>
        <v/>
      </c>
      <c r="L36" s="14" t="n"/>
      <c r="M36" s="14" t="n"/>
      <c r="N36" s="14" t="n"/>
      <c r="O36" s="14" t="n"/>
      <c r="P36" s="14" t="n"/>
      <c r="Q36" s="14" t="n"/>
      <c r="R36" s="14" t="n"/>
    </row>
    <row r="37">
      <c r="A37" s="8" t="n"/>
      <c r="B37" s="9" t="n"/>
      <c r="C37" s="9" t="n"/>
      <c r="D37" s="10" t="n"/>
      <c r="E37" s="10" t="n"/>
      <c r="F37" s="10" t="n"/>
      <c r="G37" s="10" t="n"/>
      <c r="H37" s="10" t="n"/>
      <c r="I37" s="11" t="n"/>
      <c r="J37" s="11" t="n"/>
      <c r="K37" s="9">
        <f>IF(AND(I37&lt;&gt;"",J37&lt;&gt;""),J37-I37,"")</f>
        <v/>
      </c>
      <c r="L37" s="10" t="n"/>
      <c r="M37" s="10" t="n"/>
      <c r="N37" s="10" t="n"/>
      <c r="O37" s="10" t="n"/>
      <c r="P37" s="10" t="n"/>
      <c r="Q37" s="10" t="n"/>
      <c r="R37" s="10" t="n"/>
    </row>
    <row r="38">
      <c r="A38" s="12" t="n"/>
      <c r="B38" s="13" t="n"/>
      <c r="C38" s="13" t="n"/>
      <c r="D38" s="14" t="n"/>
      <c r="E38" s="14" t="n"/>
      <c r="F38" s="14" t="n"/>
      <c r="G38" s="14" t="n"/>
      <c r="H38" s="14" t="n"/>
      <c r="I38" s="15" t="n"/>
      <c r="J38" s="15" t="n"/>
      <c r="K38" s="13">
        <f>IF(AND(I38&lt;&gt;"",J38&lt;&gt;""),J38-I38,"")</f>
        <v/>
      </c>
      <c r="L38" s="14" t="n"/>
      <c r="M38" s="14" t="n"/>
      <c r="N38" s="14" t="n"/>
      <c r="O38" s="14" t="n"/>
      <c r="P38" s="14" t="n"/>
      <c r="Q38" s="14" t="n"/>
      <c r="R38" s="14" t="n"/>
    </row>
    <row r="39">
      <c r="A39" s="8" t="n"/>
      <c r="B39" s="9" t="n"/>
      <c r="C39" s="9" t="n"/>
      <c r="D39" s="10" t="n"/>
      <c r="E39" s="10" t="n"/>
      <c r="F39" s="10" t="n"/>
      <c r="G39" s="10" t="n"/>
      <c r="H39" s="10" t="n"/>
      <c r="I39" s="11" t="n"/>
      <c r="J39" s="11" t="n"/>
      <c r="K39" s="9">
        <f>IF(AND(I39&lt;&gt;"",J39&lt;&gt;""),J39-I39,"")</f>
        <v/>
      </c>
      <c r="L39" s="10" t="n"/>
      <c r="M39" s="10" t="n"/>
      <c r="N39" s="10" t="n"/>
      <c r="O39" s="10" t="n"/>
      <c r="P39" s="10" t="n"/>
      <c r="Q39" s="10" t="n"/>
      <c r="R39" s="10" t="n"/>
    </row>
    <row r="40">
      <c r="A40" s="12" t="n"/>
      <c r="B40" s="13" t="n"/>
      <c r="C40" s="13" t="n"/>
      <c r="D40" s="14" t="n"/>
      <c r="E40" s="14" t="n"/>
      <c r="F40" s="14" t="n"/>
      <c r="G40" s="14" t="n"/>
      <c r="H40" s="14" t="n"/>
      <c r="I40" s="15" t="n"/>
      <c r="J40" s="15" t="n"/>
      <c r="K40" s="13">
        <f>IF(AND(I40&lt;&gt;"",J40&lt;&gt;""),J40-I40,"")</f>
        <v/>
      </c>
      <c r="L40" s="14" t="n"/>
      <c r="M40" s="14" t="n"/>
      <c r="N40" s="14" t="n"/>
      <c r="O40" s="14" t="n"/>
      <c r="P40" s="14" t="n"/>
      <c r="Q40" s="14" t="n"/>
      <c r="R40" s="14" t="n"/>
    </row>
    <row r="41">
      <c r="A41" s="8" t="n"/>
      <c r="B41" s="9" t="n"/>
      <c r="C41" s="9" t="n"/>
      <c r="D41" s="10" t="n"/>
      <c r="E41" s="10" t="n"/>
      <c r="F41" s="10" t="n"/>
      <c r="G41" s="10" t="n"/>
      <c r="H41" s="10" t="n"/>
      <c r="I41" s="11" t="n"/>
      <c r="J41" s="11" t="n"/>
      <c r="K41" s="9">
        <f>IF(AND(I41&lt;&gt;"",J41&lt;&gt;""),J41-I41,"")</f>
        <v/>
      </c>
      <c r="L41" s="10" t="n"/>
      <c r="M41" s="10" t="n"/>
      <c r="N41" s="10" t="n"/>
      <c r="O41" s="10" t="n"/>
      <c r="P41" s="10" t="n"/>
      <c r="Q41" s="10" t="n"/>
      <c r="R41" s="10" t="n"/>
    </row>
    <row r="42">
      <c r="A42" s="12" t="n"/>
      <c r="B42" s="13" t="n"/>
      <c r="C42" s="13" t="n"/>
      <c r="D42" s="14" t="n"/>
      <c r="E42" s="14" t="n"/>
      <c r="F42" s="14" t="n"/>
      <c r="G42" s="14" t="n"/>
      <c r="H42" s="14" t="n"/>
      <c r="I42" s="15" t="n"/>
      <c r="J42" s="15" t="n"/>
      <c r="K42" s="13">
        <f>IF(AND(I42&lt;&gt;"",J42&lt;&gt;""),J42-I42,"")</f>
        <v/>
      </c>
      <c r="L42" s="14" t="n"/>
      <c r="M42" s="14" t="n"/>
      <c r="N42" s="14" t="n"/>
      <c r="O42" s="14" t="n"/>
      <c r="P42" s="14" t="n"/>
      <c r="Q42" s="14" t="n"/>
      <c r="R42" s="14" t="n"/>
    </row>
    <row r="43">
      <c r="A43" s="8" t="n"/>
      <c r="B43" s="9" t="n"/>
      <c r="C43" s="9" t="n"/>
      <c r="D43" s="10" t="n"/>
      <c r="E43" s="10" t="n"/>
      <c r="F43" s="10" t="n"/>
      <c r="G43" s="10" t="n"/>
      <c r="H43" s="10" t="n"/>
      <c r="I43" s="11" t="n"/>
      <c r="J43" s="11" t="n"/>
      <c r="K43" s="9">
        <f>IF(AND(I43&lt;&gt;"",J43&lt;&gt;""),J43-I43,"")</f>
        <v/>
      </c>
      <c r="L43" s="10" t="n"/>
      <c r="M43" s="10" t="n"/>
      <c r="N43" s="10" t="n"/>
      <c r="O43" s="10" t="n"/>
      <c r="P43" s="10" t="n"/>
      <c r="Q43" s="10" t="n"/>
      <c r="R43" s="10" t="n"/>
    </row>
    <row r="44">
      <c r="A44" s="12" t="n"/>
      <c r="B44" s="13" t="n"/>
      <c r="C44" s="13" t="n"/>
      <c r="D44" s="14" t="n"/>
      <c r="E44" s="14" t="n"/>
      <c r="F44" s="14" t="n"/>
      <c r="G44" s="14" t="n"/>
      <c r="H44" s="14" t="n"/>
      <c r="I44" s="15" t="n"/>
      <c r="J44" s="15" t="n"/>
      <c r="K44" s="13">
        <f>IF(AND(I44&lt;&gt;"",J44&lt;&gt;""),J44-I44,"")</f>
        <v/>
      </c>
      <c r="L44" s="14" t="n"/>
      <c r="M44" s="14" t="n"/>
      <c r="N44" s="14" t="n"/>
      <c r="O44" s="14" t="n"/>
      <c r="P44" s="14" t="n"/>
      <c r="Q44" s="14" t="n"/>
      <c r="R44" s="14" t="n"/>
    </row>
    <row r="45">
      <c r="A45" s="8" t="n"/>
      <c r="B45" s="9" t="n"/>
      <c r="C45" s="9" t="n"/>
      <c r="D45" s="10" t="n"/>
      <c r="E45" s="10" t="n"/>
      <c r="F45" s="10" t="n"/>
      <c r="G45" s="10" t="n"/>
      <c r="H45" s="10" t="n"/>
      <c r="I45" s="11" t="n"/>
      <c r="J45" s="11" t="n"/>
      <c r="K45" s="9">
        <f>IF(AND(I45&lt;&gt;"",J45&lt;&gt;""),J45-I45,"")</f>
        <v/>
      </c>
      <c r="L45" s="10" t="n"/>
      <c r="M45" s="10" t="n"/>
      <c r="N45" s="10" t="n"/>
      <c r="O45" s="10" t="n"/>
      <c r="P45" s="10" t="n"/>
      <c r="Q45" s="10" t="n"/>
      <c r="R45" s="10" t="n"/>
    </row>
    <row r="46">
      <c r="A46" s="12" t="n"/>
      <c r="B46" s="13" t="n"/>
      <c r="C46" s="13" t="n"/>
      <c r="D46" s="14" t="n"/>
      <c r="E46" s="14" t="n"/>
      <c r="F46" s="14" t="n"/>
      <c r="G46" s="14" t="n"/>
      <c r="H46" s="14" t="n"/>
      <c r="I46" s="15" t="n"/>
      <c r="J46" s="15" t="n"/>
      <c r="K46" s="13">
        <f>IF(AND(I46&lt;&gt;"",J46&lt;&gt;""),J46-I46,"")</f>
        <v/>
      </c>
      <c r="L46" s="14" t="n"/>
      <c r="M46" s="14" t="n"/>
      <c r="N46" s="14" t="n"/>
      <c r="O46" s="14" t="n"/>
      <c r="P46" s="14" t="n"/>
      <c r="Q46" s="14" t="n"/>
      <c r="R46" s="14" t="n"/>
    </row>
    <row r="47">
      <c r="A47" s="8" t="n"/>
      <c r="B47" s="9" t="n"/>
      <c r="C47" s="9" t="n"/>
      <c r="D47" s="10" t="n"/>
      <c r="E47" s="10" t="n"/>
      <c r="F47" s="10" t="n"/>
      <c r="G47" s="10" t="n"/>
      <c r="H47" s="10" t="n"/>
      <c r="I47" s="11" t="n"/>
      <c r="J47" s="11" t="n"/>
      <c r="K47" s="9">
        <f>IF(AND(I47&lt;&gt;"",J47&lt;&gt;""),J47-I47,"")</f>
        <v/>
      </c>
      <c r="L47" s="10" t="n"/>
      <c r="M47" s="10" t="n"/>
      <c r="N47" s="10" t="n"/>
      <c r="O47" s="10" t="n"/>
      <c r="P47" s="10" t="n"/>
      <c r="Q47" s="10" t="n"/>
      <c r="R47" s="10" t="n"/>
    </row>
    <row r="48">
      <c r="A48" s="12" t="n"/>
      <c r="B48" s="13" t="n"/>
      <c r="C48" s="13" t="n"/>
      <c r="D48" s="14" t="n"/>
      <c r="E48" s="14" t="n"/>
      <c r="F48" s="14" t="n"/>
      <c r="G48" s="14" t="n"/>
      <c r="H48" s="14" t="n"/>
      <c r="I48" s="15" t="n"/>
      <c r="J48" s="15" t="n"/>
      <c r="K48" s="13">
        <f>IF(AND(I48&lt;&gt;"",J48&lt;&gt;""),J48-I48,"")</f>
        <v/>
      </c>
      <c r="L48" s="14" t="n"/>
      <c r="M48" s="14" t="n"/>
      <c r="N48" s="14" t="n"/>
      <c r="O48" s="14" t="n"/>
      <c r="P48" s="14" t="n"/>
      <c r="Q48" s="14" t="n"/>
      <c r="R48" s="14" t="n"/>
    </row>
    <row r="49">
      <c r="A49" s="8" t="n"/>
      <c r="B49" s="9" t="n"/>
      <c r="C49" s="9" t="n"/>
      <c r="D49" s="10" t="n"/>
      <c r="E49" s="10" t="n"/>
      <c r="F49" s="10" t="n"/>
      <c r="G49" s="10" t="n"/>
      <c r="H49" s="10" t="n"/>
      <c r="I49" s="11" t="n"/>
      <c r="J49" s="11" t="n"/>
      <c r="K49" s="9">
        <f>IF(AND(I49&lt;&gt;"",J49&lt;&gt;""),J49-I49,"")</f>
        <v/>
      </c>
      <c r="L49" s="10" t="n"/>
      <c r="M49" s="10" t="n"/>
      <c r="N49" s="10" t="n"/>
      <c r="O49" s="10" t="n"/>
      <c r="P49" s="10" t="n"/>
      <c r="Q49" s="10" t="n"/>
      <c r="R49" s="10" t="n"/>
    </row>
    <row r="50">
      <c r="A50" s="12" t="n"/>
      <c r="B50" s="13" t="n"/>
      <c r="C50" s="13" t="n"/>
      <c r="D50" s="14" t="n"/>
      <c r="E50" s="14" t="n"/>
      <c r="F50" s="14" t="n"/>
      <c r="G50" s="14" t="n"/>
      <c r="H50" s="14" t="n"/>
      <c r="I50" s="15" t="n"/>
      <c r="J50" s="15" t="n"/>
      <c r="K50" s="13">
        <f>IF(AND(I50&lt;&gt;"",J50&lt;&gt;""),J50-I50,"")</f>
        <v/>
      </c>
      <c r="L50" s="14" t="n"/>
      <c r="M50" s="14" t="n"/>
      <c r="N50" s="14" t="n"/>
      <c r="O50" s="14" t="n"/>
      <c r="P50" s="14" t="n"/>
      <c r="Q50" s="14" t="n"/>
      <c r="R50" s="14" t="n"/>
    </row>
    <row r="51">
      <c r="A51" s="8" t="n"/>
      <c r="B51" s="9" t="n"/>
      <c r="C51" s="9" t="n"/>
      <c r="D51" s="10" t="n"/>
      <c r="E51" s="10" t="n"/>
      <c r="F51" s="10" t="n"/>
      <c r="G51" s="10" t="n"/>
      <c r="H51" s="10" t="n"/>
      <c r="I51" s="11" t="n"/>
      <c r="J51" s="11" t="n"/>
      <c r="K51" s="9">
        <f>IF(AND(I51&lt;&gt;"",J51&lt;&gt;""),J51-I51,"")</f>
        <v/>
      </c>
      <c r="L51" s="10" t="n"/>
      <c r="M51" s="10" t="n"/>
      <c r="N51" s="10" t="n"/>
      <c r="O51" s="10" t="n"/>
      <c r="P51" s="10" t="n"/>
      <c r="Q51" s="10" t="n"/>
      <c r="R51" s="10" t="n"/>
    </row>
    <row r="52">
      <c r="A52" s="12" t="n"/>
      <c r="B52" s="13" t="n"/>
      <c r="C52" s="13" t="n"/>
      <c r="D52" s="14" t="n"/>
      <c r="E52" s="14" t="n"/>
      <c r="F52" s="14" t="n"/>
      <c r="G52" s="14" t="n"/>
      <c r="H52" s="14" t="n"/>
      <c r="I52" s="15" t="n"/>
      <c r="J52" s="15" t="n"/>
      <c r="K52" s="13">
        <f>IF(AND(I52&lt;&gt;"",J52&lt;&gt;""),J52-I52,"")</f>
        <v/>
      </c>
      <c r="L52" s="14" t="n"/>
      <c r="M52" s="14" t="n"/>
      <c r="N52" s="14" t="n"/>
      <c r="O52" s="14" t="n"/>
      <c r="P52" s="14" t="n"/>
      <c r="Q52" s="14" t="n"/>
      <c r="R52" s="14" t="n"/>
    </row>
    <row r="53">
      <c r="A53" s="8" t="n"/>
      <c r="B53" s="9" t="n"/>
      <c r="C53" s="9" t="n"/>
      <c r="D53" s="10" t="n"/>
      <c r="E53" s="10" t="n"/>
      <c r="F53" s="10" t="n"/>
      <c r="G53" s="10" t="n"/>
      <c r="H53" s="10" t="n"/>
      <c r="I53" s="11" t="n"/>
      <c r="J53" s="11" t="n"/>
      <c r="K53" s="9">
        <f>IF(AND(I53&lt;&gt;"",J53&lt;&gt;""),J53-I53,"")</f>
        <v/>
      </c>
      <c r="L53" s="10" t="n"/>
      <c r="M53" s="10" t="n"/>
      <c r="N53" s="10" t="n"/>
      <c r="O53" s="10" t="n"/>
      <c r="P53" s="10" t="n"/>
      <c r="Q53" s="10" t="n"/>
      <c r="R53" s="10" t="n"/>
    </row>
    <row r="54">
      <c r="A54" s="12" t="n"/>
      <c r="B54" s="13" t="n"/>
      <c r="C54" s="13" t="n"/>
      <c r="D54" s="14" t="n"/>
      <c r="E54" s="14" t="n"/>
      <c r="F54" s="14" t="n"/>
      <c r="G54" s="14" t="n"/>
      <c r="H54" s="14" t="n"/>
      <c r="I54" s="15" t="n"/>
      <c r="J54" s="15" t="n"/>
      <c r="K54" s="13">
        <f>IF(AND(I54&lt;&gt;"",J54&lt;&gt;""),J54-I54,"")</f>
        <v/>
      </c>
      <c r="L54" s="14" t="n"/>
      <c r="M54" s="14" t="n"/>
      <c r="N54" s="14" t="n"/>
      <c r="O54" s="14" t="n"/>
      <c r="P54" s="14" t="n"/>
      <c r="Q54" s="14" t="n"/>
      <c r="R54" s="14" t="n"/>
    </row>
    <row r="55">
      <c r="A55" s="8" t="n"/>
      <c r="B55" s="9" t="n"/>
      <c r="C55" s="9" t="n"/>
      <c r="D55" s="10" t="n"/>
      <c r="E55" s="10" t="n"/>
      <c r="F55" s="10" t="n"/>
      <c r="G55" s="10" t="n"/>
      <c r="H55" s="10" t="n"/>
      <c r="I55" s="11" t="n"/>
      <c r="J55" s="11" t="n"/>
      <c r="K55" s="9">
        <f>IF(AND(I55&lt;&gt;"",J55&lt;&gt;""),J55-I55,"")</f>
        <v/>
      </c>
      <c r="L55" s="10" t="n"/>
      <c r="M55" s="10" t="n"/>
      <c r="N55" s="10" t="n"/>
      <c r="O55" s="10" t="n"/>
      <c r="P55" s="10" t="n"/>
      <c r="Q55" s="10" t="n"/>
      <c r="R55" s="10" t="n"/>
    </row>
    <row r="56">
      <c r="A56" s="12" t="n"/>
      <c r="B56" s="13" t="n"/>
      <c r="C56" s="13" t="n"/>
      <c r="D56" s="14" t="n"/>
      <c r="E56" s="14" t="n"/>
      <c r="F56" s="14" t="n"/>
      <c r="G56" s="14" t="n"/>
      <c r="H56" s="14" t="n"/>
      <c r="I56" s="15" t="n"/>
      <c r="J56" s="15" t="n"/>
      <c r="K56" s="13">
        <f>IF(AND(I56&lt;&gt;"",J56&lt;&gt;""),J56-I56,"")</f>
        <v/>
      </c>
      <c r="L56" s="14" t="n"/>
      <c r="M56" s="14" t="n"/>
      <c r="N56" s="14" t="n"/>
      <c r="O56" s="14" t="n"/>
      <c r="P56" s="14" t="n"/>
      <c r="Q56" s="14" t="n"/>
      <c r="R56" s="14" t="n"/>
    </row>
    <row r="57">
      <c r="A57" s="8" t="n"/>
      <c r="B57" s="9" t="n"/>
      <c r="C57" s="9" t="n"/>
      <c r="D57" s="10" t="n"/>
      <c r="E57" s="10" t="n"/>
      <c r="F57" s="10" t="n"/>
      <c r="G57" s="10" t="n"/>
      <c r="H57" s="10" t="n"/>
      <c r="I57" s="11" t="n"/>
      <c r="J57" s="11" t="n"/>
      <c r="K57" s="9">
        <f>IF(AND(I57&lt;&gt;"",J57&lt;&gt;""),J57-I57,"")</f>
        <v/>
      </c>
      <c r="L57" s="10" t="n"/>
      <c r="M57" s="10" t="n"/>
      <c r="N57" s="10" t="n"/>
      <c r="O57" s="10" t="n"/>
      <c r="P57" s="10" t="n"/>
      <c r="Q57" s="10" t="n"/>
      <c r="R57" s="10" t="n"/>
    </row>
    <row r="58">
      <c r="A58" s="12" t="n"/>
      <c r="B58" s="13" t="n"/>
      <c r="C58" s="13" t="n"/>
      <c r="D58" s="14" t="n"/>
      <c r="E58" s="14" t="n"/>
      <c r="F58" s="14" t="n"/>
      <c r="G58" s="14" t="n"/>
      <c r="H58" s="14" t="n"/>
      <c r="I58" s="15" t="n"/>
      <c r="J58" s="15" t="n"/>
      <c r="K58" s="13">
        <f>IF(AND(I58&lt;&gt;"",J58&lt;&gt;""),J58-I58,"")</f>
        <v/>
      </c>
      <c r="L58" s="14" t="n"/>
      <c r="M58" s="14" t="n"/>
      <c r="N58" s="14" t="n"/>
      <c r="O58" s="14" t="n"/>
      <c r="P58" s="14" t="n"/>
      <c r="Q58" s="14" t="n"/>
      <c r="R58" s="14" t="n"/>
    </row>
    <row r="59">
      <c r="A59" s="8" t="n"/>
      <c r="B59" s="9" t="n"/>
      <c r="C59" s="9" t="n"/>
      <c r="D59" s="10" t="n"/>
      <c r="E59" s="10" t="n"/>
      <c r="F59" s="10" t="n"/>
      <c r="G59" s="10" t="n"/>
      <c r="H59" s="10" t="n"/>
      <c r="I59" s="11" t="n"/>
      <c r="J59" s="11" t="n"/>
      <c r="K59" s="9">
        <f>IF(AND(I59&lt;&gt;"",J59&lt;&gt;""),J59-I59,"")</f>
        <v/>
      </c>
      <c r="L59" s="10" t="n"/>
      <c r="M59" s="10" t="n"/>
      <c r="N59" s="10" t="n"/>
      <c r="O59" s="10" t="n"/>
      <c r="P59" s="10" t="n"/>
      <c r="Q59" s="10" t="n"/>
      <c r="R59" s="10" t="n"/>
    </row>
    <row r="60">
      <c r="A60" s="12" t="n"/>
      <c r="B60" s="13" t="n"/>
      <c r="C60" s="13" t="n"/>
      <c r="D60" s="14" t="n"/>
      <c r="E60" s="14" t="n"/>
      <c r="F60" s="14" t="n"/>
      <c r="G60" s="14" t="n"/>
      <c r="H60" s="14" t="n"/>
      <c r="I60" s="15" t="n"/>
      <c r="J60" s="15" t="n"/>
      <c r="K60" s="13">
        <f>IF(AND(I60&lt;&gt;"",J60&lt;&gt;""),J60-I60,"")</f>
        <v/>
      </c>
      <c r="L60" s="14" t="n"/>
      <c r="M60" s="14" t="n"/>
      <c r="N60" s="14" t="n"/>
      <c r="O60" s="14" t="n"/>
      <c r="P60" s="14" t="n"/>
      <c r="Q60" s="14" t="n"/>
      <c r="R60" s="14" t="n"/>
    </row>
    <row r="61">
      <c r="A61" s="8" t="n"/>
      <c r="B61" s="9" t="n"/>
      <c r="C61" s="9" t="n"/>
      <c r="D61" s="10" t="n"/>
      <c r="E61" s="10" t="n"/>
      <c r="F61" s="10" t="n"/>
      <c r="G61" s="10" t="n"/>
      <c r="H61" s="10" t="n"/>
      <c r="I61" s="11" t="n"/>
      <c r="J61" s="11" t="n"/>
      <c r="K61" s="9">
        <f>IF(AND(I61&lt;&gt;"",J61&lt;&gt;""),J61-I61,"")</f>
        <v/>
      </c>
      <c r="L61" s="10" t="n"/>
      <c r="M61" s="10" t="n"/>
      <c r="N61" s="10" t="n"/>
      <c r="O61" s="10" t="n"/>
      <c r="P61" s="10" t="n"/>
      <c r="Q61" s="10" t="n"/>
      <c r="R61" s="10" t="n"/>
    </row>
    <row r="62">
      <c r="A62" s="12" t="n"/>
      <c r="B62" s="13" t="n"/>
      <c r="C62" s="13" t="n"/>
      <c r="D62" s="14" t="n"/>
      <c r="E62" s="14" t="n"/>
      <c r="F62" s="14" t="n"/>
      <c r="G62" s="14" t="n"/>
      <c r="H62" s="14" t="n"/>
      <c r="I62" s="15" t="n"/>
      <c r="J62" s="15" t="n"/>
      <c r="K62" s="13">
        <f>IF(AND(I62&lt;&gt;"",J62&lt;&gt;""),J62-I62,"")</f>
        <v/>
      </c>
      <c r="L62" s="14" t="n"/>
      <c r="M62" s="14" t="n"/>
      <c r="N62" s="14" t="n"/>
      <c r="O62" s="14" t="n"/>
      <c r="P62" s="14" t="n"/>
      <c r="Q62" s="14" t="n"/>
      <c r="R62" s="14" t="n"/>
    </row>
    <row r="63">
      <c r="A63" s="8" t="n"/>
      <c r="B63" s="9" t="n"/>
      <c r="C63" s="9" t="n"/>
      <c r="D63" s="10" t="n"/>
      <c r="E63" s="10" t="n"/>
      <c r="F63" s="10" t="n"/>
      <c r="G63" s="10" t="n"/>
      <c r="H63" s="10" t="n"/>
      <c r="I63" s="11" t="n"/>
      <c r="J63" s="11" t="n"/>
      <c r="K63" s="9">
        <f>IF(AND(I63&lt;&gt;"",J63&lt;&gt;""),J63-I63,"")</f>
        <v/>
      </c>
      <c r="L63" s="10" t="n"/>
      <c r="M63" s="10" t="n"/>
      <c r="N63" s="10" t="n"/>
      <c r="O63" s="10" t="n"/>
      <c r="P63" s="10" t="n"/>
      <c r="Q63" s="10" t="n"/>
      <c r="R63" s="10" t="n"/>
    </row>
    <row r="64">
      <c r="A64" s="12" t="n"/>
      <c r="B64" s="13" t="n"/>
      <c r="C64" s="13" t="n"/>
      <c r="D64" s="14" t="n"/>
      <c r="E64" s="14" t="n"/>
      <c r="F64" s="14" t="n"/>
      <c r="G64" s="14" t="n"/>
      <c r="H64" s="14" t="n"/>
      <c r="I64" s="15" t="n"/>
      <c r="J64" s="15" t="n"/>
      <c r="K64" s="13">
        <f>IF(AND(I64&lt;&gt;"",J64&lt;&gt;""),J64-I64,"")</f>
        <v/>
      </c>
      <c r="L64" s="14" t="n"/>
      <c r="M64" s="14" t="n"/>
      <c r="N64" s="14" t="n"/>
      <c r="O64" s="14" t="n"/>
      <c r="P64" s="14" t="n"/>
      <c r="Q64" s="14" t="n"/>
      <c r="R64" s="14" t="n"/>
    </row>
    <row r="65">
      <c r="A65" s="8" t="n"/>
      <c r="B65" s="9" t="n"/>
      <c r="C65" s="9" t="n"/>
      <c r="D65" s="10" t="n"/>
      <c r="E65" s="10" t="n"/>
      <c r="F65" s="10" t="n"/>
      <c r="G65" s="10" t="n"/>
      <c r="H65" s="10" t="n"/>
      <c r="I65" s="11" t="n"/>
      <c r="J65" s="11" t="n"/>
      <c r="K65" s="9">
        <f>IF(AND(I65&lt;&gt;"",J65&lt;&gt;""),J65-I65,"")</f>
        <v/>
      </c>
      <c r="L65" s="10" t="n"/>
      <c r="M65" s="10" t="n"/>
      <c r="N65" s="10" t="n"/>
      <c r="O65" s="10" t="n"/>
      <c r="P65" s="10" t="n"/>
      <c r="Q65" s="10" t="n"/>
      <c r="R65" s="10" t="n"/>
    </row>
    <row r="66">
      <c r="A66" s="12" t="n"/>
      <c r="B66" s="13" t="n"/>
      <c r="C66" s="13" t="n"/>
      <c r="D66" s="14" t="n"/>
      <c r="E66" s="14" t="n"/>
      <c r="F66" s="14" t="n"/>
      <c r="G66" s="14" t="n"/>
      <c r="H66" s="14" t="n"/>
      <c r="I66" s="15" t="n"/>
      <c r="J66" s="15" t="n"/>
      <c r="K66" s="13">
        <f>IF(AND(I66&lt;&gt;"",J66&lt;&gt;""),J66-I66,"")</f>
        <v/>
      </c>
      <c r="L66" s="14" t="n"/>
      <c r="M66" s="14" t="n"/>
      <c r="N66" s="14" t="n"/>
      <c r="O66" s="14" t="n"/>
      <c r="P66" s="14" t="n"/>
      <c r="Q66" s="14" t="n"/>
      <c r="R66" s="14" t="n"/>
    </row>
    <row r="67">
      <c r="A67" s="8" t="n"/>
      <c r="B67" s="9" t="n"/>
      <c r="C67" s="9" t="n"/>
      <c r="D67" s="10" t="n"/>
      <c r="E67" s="10" t="n"/>
      <c r="F67" s="10" t="n"/>
      <c r="G67" s="10" t="n"/>
      <c r="H67" s="10" t="n"/>
      <c r="I67" s="11" t="n"/>
      <c r="J67" s="11" t="n"/>
      <c r="K67" s="9">
        <f>IF(AND(I67&lt;&gt;"",J67&lt;&gt;""),J67-I67,"")</f>
        <v/>
      </c>
      <c r="L67" s="10" t="n"/>
      <c r="M67" s="10" t="n"/>
      <c r="N67" s="10" t="n"/>
      <c r="O67" s="10" t="n"/>
      <c r="P67" s="10" t="n"/>
      <c r="Q67" s="10" t="n"/>
      <c r="R67" s="10" t="n"/>
    </row>
    <row r="68">
      <c r="A68" s="12" t="n"/>
      <c r="B68" s="13" t="n"/>
      <c r="C68" s="13" t="n"/>
      <c r="D68" s="14" t="n"/>
      <c r="E68" s="14" t="n"/>
      <c r="F68" s="14" t="n"/>
      <c r="G68" s="14" t="n"/>
      <c r="H68" s="14" t="n"/>
      <c r="I68" s="15" t="n"/>
      <c r="J68" s="15" t="n"/>
      <c r="K68" s="13">
        <f>IF(AND(I68&lt;&gt;"",J68&lt;&gt;""),J68-I68,"")</f>
        <v/>
      </c>
      <c r="L68" s="14" t="n"/>
      <c r="M68" s="14" t="n"/>
      <c r="N68" s="14" t="n"/>
      <c r="O68" s="14" t="n"/>
      <c r="P68" s="14" t="n"/>
      <c r="Q68" s="14" t="n"/>
      <c r="R68" s="14" t="n"/>
    </row>
    <row r="69">
      <c r="A69" s="8" t="n"/>
      <c r="B69" s="9" t="n"/>
      <c r="C69" s="9" t="n"/>
      <c r="D69" s="10" t="n"/>
      <c r="E69" s="10" t="n"/>
      <c r="F69" s="10" t="n"/>
      <c r="G69" s="10" t="n"/>
      <c r="H69" s="10" t="n"/>
      <c r="I69" s="11" t="n"/>
      <c r="J69" s="11" t="n"/>
      <c r="K69" s="9">
        <f>IF(AND(I69&lt;&gt;"",J69&lt;&gt;""),J69-I69,"")</f>
        <v/>
      </c>
      <c r="L69" s="10" t="n"/>
      <c r="M69" s="10" t="n"/>
      <c r="N69" s="10" t="n"/>
      <c r="O69" s="10" t="n"/>
      <c r="P69" s="10" t="n"/>
      <c r="Q69" s="10" t="n"/>
      <c r="R69" s="10" t="n"/>
    </row>
    <row r="70">
      <c r="A70" s="12" t="n"/>
      <c r="B70" s="13" t="n"/>
      <c r="C70" s="13" t="n"/>
      <c r="D70" s="14" t="n"/>
      <c r="E70" s="14" t="n"/>
      <c r="F70" s="14" t="n"/>
      <c r="G70" s="14" t="n"/>
      <c r="H70" s="14" t="n"/>
      <c r="I70" s="15" t="n"/>
      <c r="J70" s="15" t="n"/>
      <c r="K70" s="13">
        <f>IF(AND(I70&lt;&gt;"",J70&lt;&gt;""),J70-I70,"")</f>
        <v/>
      </c>
      <c r="L70" s="14" t="n"/>
      <c r="M70" s="14" t="n"/>
      <c r="N70" s="14" t="n"/>
      <c r="O70" s="14" t="n"/>
      <c r="P70" s="14" t="n"/>
      <c r="Q70" s="14" t="n"/>
      <c r="R70" s="14" t="n"/>
    </row>
    <row r="71">
      <c r="A71" s="8" t="n"/>
      <c r="B71" s="9" t="n"/>
      <c r="C71" s="9" t="n"/>
      <c r="D71" s="10" t="n"/>
      <c r="E71" s="10" t="n"/>
      <c r="F71" s="10" t="n"/>
      <c r="G71" s="10" t="n"/>
      <c r="H71" s="10" t="n"/>
      <c r="I71" s="11" t="n"/>
      <c r="J71" s="11" t="n"/>
      <c r="K71" s="9">
        <f>IF(AND(I71&lt;&gt;"",J71&lt;&gt;""),J71-I71,"")</f>
        <v/>
      </c>
      <c r="L71" s="10" t="n"/>
      <c r="M71" s="10" t="n"/>
      <c r="N71" s="10" t="n"/>
      <c r="O71" s="10" t="n"/>
      <c r="P71" s="10" t="n"/>
      <c r="Q71" s="10" t="n"/>
      <c r="R71" s="10" t="n"/>
    </row>
    <row r="72">
      <c r="A72" s="12" t="n"/>
      <c r="B72" s="13" t="n"/>
      <c r="C72" s="13" t="n"/>
      <c r="D72" s="14" t="n"/>
      <c r="E72" s="14" t="n"/>
      <c r="F72" s="14" t="n"/>
      <c r="G72" s="14" t="n"/>
      <c r="H72" s="14" t="n"/>
      <c r="I72" s="15" t="n"/>
      <c r="J72" s="15" t="n"/>
      <c r="K72" s="13">
        <f>IF(AND(I72&lt;&gt;"",J72&lt;&gt;""),J72-I72,"")</f>
        <v/>
      </c>
      <c r="L72" s="14" t="n"/>
      <c r="M72" s="14" t="n"/>
      <c r="N72" s="14" t="n"/>
      <c r="O72" s="14" t="n"/>
      <c r="P72" s="14" t="n"/>
      <c r="Q72" s="14" t="n"/>
      <c r="R72" s="14" t="n"/>
    </row>
    <row r="73">
      <c r="A73" s="8" t="n"/>
      <c r="B73" s="9" t="n"/>
      <c r="C73" s="9" t="n"/>
      <c r="D73" s="10" t="n"/>
      <c r="E73" s="10" t="n"/>
      <c r="F73" s="10" t="n"/>
      <c r="G73" s="10" t="n"/>
      <c r="H73" s="10" t="n"/>
      <c r="I73" s="11" t="n"/>
      <c r="J73" s="11" t="n"/>
      <c r="K73" s="9">
        <f>IF(AND(I73&lt;&gt;"",J73&lt;&gt;""),J73-I73,"")</f>
        <v/>
      </c>
      <c r="L73" s="10" t="n"/>
      <c r="M73" s="10" t="n"/>
      <c r="N73" s="10" t="n"/>
      <c r="O73" s="10" t="n"/>
      <c r="P73" s="10" t="n"/>
      <c r="Q73" s="10" t="n"/>
      <c r="R73" s="10" t="n"/>
    </row>
    <row r="74">
      <c r="A74" s="12" t="n"/>
      <c r="B74" s="13" t="n"/>
      <c r="C74" s="13" t="n"/>
      <c r="D74" s="14" t="n"/>
      <c r="E74" s="14" t="n"/>
      <c r="F74" s="14" t="n"/>
      <c r="G74" s="14" t="n"/>
      <c r="H74" s="14" t="n"/>
      <c r="I74" s="15" t="n"/>
      <c r="J74" s="15" t="n"/>
      <c r="K74" s="13">
        <f>IF(AND(I74&lt;&gt;"",J74&lt;&gt;""),J74-I74,"")</f>
        <v/>
      </c>
      <c r="L74" s="14" t="n"/>
      <c r="M74" s="14" t="n"/>
      <c r="N74" s="14" t="n"/>
      <c r="O74" s="14" t="n"/>
      <c r="P74" s="14" t="n"/>
      <c r="Q74" s="14" t="n"/>
      <c r="R74" s="14" t="n"/>
    </row>
    <row r="75">
      <c r="A75" s="8" t="n"/>
      <c r="B75" s="9" t="n"/>
      <c r="C75" s="9" t="n"/>
      <c r="D75" s="10" t="n"/>
      <c r="E75" s="10" t="n"/>
      <c r="F75" s="10" t="n"/>
      <c r="G75" s="10" t="n"/>
      <c r="H75" s="10" t="n"/>
      <c r="I75" s="11" t="n"/>
      <c r="J75" s="11" t="n"/>
      <c r="K75" s="9">
        <f>IF(AND(I75&lt;&gt;"",J75&lt;&gt;""),J75-I75,"")</f>
        <v/>
      </c>
      <c r="L75" s="10" t="n"/>
      <c r="M75" s="10" t="n"/>
      <c r="N75" s="10" t="n"/>
      <c r="O75" s="10" t="n"/>
      <c r="P75" s="10" t="n"/>
      <c r="Q75" s="10" t="n"/>
      <c r="R75" s="10" t="n"/>
    </row>
    <row r="76">
      <c r="A76" s="12" t="n"/>
      <c r="B76" s="13" t="n"/>
      <c r="C76" s="13" t="n"/>
      <c r="D76" s="14" t="n"/>
      <c r="E76" s="14" t="n"/>
      <c r="F76" s="14" t="n"/>
      <c r="G76" s="14" t="n"/>
      <c r="H76" s="14" t="n"/>
      <c r="I76" s="15" t="n"/>
      <c r="J76" s="15" t="n"/>
      <c r="K76" s="13">
        <f>IF(AND(I76&lt;&gt;"",J76&lt;&gt;""),J76-I76,"")</f>
        <v/>
      </c>
      <c r="L76" s="14" t="n"/>
      <c r="M76" s="14" t="n"/>
      <c r="N76" s="14" t="n"/>
      <c r="O76" s="14" t="n"/>
      <c r="P76" s="14" t="n"/>
      <c r="Q76" s="14" t="n"/>
      <c r="R76" s="14" t="n"/>
    </row>
    <row r="77">
      <c r="A77" s="8" t="n"/>
      <c r="B77" s="9" t="n"/>
      <c r="C77" s="9" t="n"/>
      <c r="D77" s="10" t="n"/>
      <c r="E77" s="10" t="n"/>
      <c r="F77" s="10" t="n"/>
      <c r="G77" s="10" t="n"/>
      <c r="H77" s="10" t="n"/>
      <c r="I77" s="11" t="n"/>
      <c r="J77" s="11" t="n"/>
      <c r="K77" s="9">
        <f>IF(AND(I77&lt;&gt;"",J77&lt;&gt;""),J77-I77,"")</f>
        <v/>
      </c>
      <c r="L77" s="10" t="n"/>
      <c r="M77" s="10" t="n"/>
      <c r="N77" s="10" t="n"/>
      <c r="O77" s="10" t="n"/>
      <c r="P77" s="10" t="n"/>
      <c r="Q77" s="10" t="n"/>
      <c r="R77" s="10" t="n"/>
    </row>
    <row r="78">
      <c r="A78" s="12" t="n"/>
      <c r="B78" s="13" t="n"/>
      <c r="C78" s="13" t="n"/>
      <c r="D78" s="14" t="n"/>
      <c r="E78" s="14" t="n"/>
      <c r="F78" s="14" t="n"/>
      <c r="G78" s="14" t="n"/>
      <c r="H78" s="14" t="n"/>
      <c r="I78" s="15" t="n"/>
      <c r="J78" s="15" t="n"/>
      <c r="K78" s="13">
        <f>IF(AND(I78&lt;&gt;"",J78&lt;&gt;""),J78-I78,"")</f>
        <v/>
      </c>
      <c r="L78" s="14" t="n"/>
      <c r="M78" s="14" t="n"/>
      <c r="N78" s="14" t="n"/>
      <c r="O78" s="14" t="n"/>
      <c r="P78" s="14" t="n"/>
      <c r="Q78" s="14" t="n"/>
      <c r="R78" s="14" t="n"/>
    </row>
    <row r="79">
      <c r="A79" s="8" t="n"/>
      <c r="B79" s="9" t="n"/>
      <c r="C79" s="9" t="n"/>
      <c r="D79" s="10" t="n"/>
      <c r="E79" s="10" t="n"/>
      <c r="F79" s="10" t="n"/>
      <c r="G79" s="10" t="n"/>
      <c r="H79" s="10" t="n"/>
      <c r="I79" s="11" t="n"/>
      <c r="J79" s="11" t="n"/>
      <c r="K79" s="9">
        <f>IF(AND(I79&lt;&gt;"",J79&lt;&gt;""),J79-I79,"")</f>
        <v/>
      </c>
      <c r="L79" s="10" t="n"/>
      <c r="M79" s="10" t="n"/>
      <c r="N79" s="10" t="n"/>
      <c r="O79" s="10" t="n"/>
      <c r="P79" s="10" t="n"/>
      <c r="Q79" s="10" t="n"/>
      <c r="R79" s="10" t="n"/>
    </row>
    <row r="80">
      <c r="A80" s="12" t="n"/>
      <c r="B80" s="13" t="n"/>
      <c r="C80" s="13" t="n"/>
      <c r="D80" s="14" t="n"/>
      <c r="E80" s="14" t="n"/>
      <c r="F80" s="14" t="n"/>
      <c r="G80" s="14" t="n"/>
      <c r="H80" s="14" t="n"/>
      <c r="I80" s="15" t="n"/>
      <c r="J80" s="15" t="n"/>
      <c r="K80" s="13">
        <f>IF(AND(I80&lt;&gt;"",J80&lt;&gt;""),J80-I80,"")</f>
        <v/>
      </c>
      <c r="L80" s="14" t="n"/>
      <c r="M80" s="14" t="n"/>
      <c r="N80" s="14" t="n"/>
      <c r="O80" s="14" t="n"/>
      <c r="P80" s="14" t="n"/>
      <c r="Q80" s="14" t="n"/>
      <c r="R80" s="14" t="n"/>
    </row>
    <row r="81">
      <c r="A81" s="8" t="n"/>
      <c r="B81" s="9" t="n"/>
      <c r="C81" s="9" t="n"/>
      <c r="D81" s="10" t="n"/>
      <c r="E81" s="10" t="n"/>
      <c r="F81" s="10" t="n"/>
      <c r="G81" s="10" t="n"/>
      <c r="H81" s="10" t="n"/>
      <c r="I81" s="11" t="n"/>
      <c r="J81" s="11" t="n"/>
      <c r="K81" s="9">
        <f>IF(AND(I81&lt;&gt;"",J81&lt;&gt;""),J81-I81,"")</f>
        <v/>
      </c>
      <c r="L81" s="10" t="n"/>
      <c r="M81" s="10" t="n"/>
      <c r="N81" s="10" t="n"/>
      <c r="O81" s="10" t="n"/>
      <c r="P81" s="10" t="n"/>
      <c r="Q81" s="10" t="n"/>
      <c r="R81" s="10" t="n"/>
    </row>
    <row r="82">
      <c r="A82" s="12" t="n"/>
      <c r="B82" s="13" t="n"/>
      <c r="C82" s="13" t="n"/>
      <c r="D82" s="14" t="n"/>
      <c r="E82" s="14" t="n"/>
      <c r="F82" s="14" t="n"/>
      <c r="G82" s="14" t="n"/>
      <c r="H82" s="14" t="n"/>
      <c r="I82" s="15" t="n"/>
      <c r="J82" s="15" t="n"/>
      <c r="K82" s="13">
        <f>IF(AND(I82&lt;&gt;"",J82&lt;&gt;""),J82-I82,"")</f>
        <v/>
      </c>
      <c r="L82" s="14" t="n"/>
      <c r="M82" s="14" t="n"/>
      <c r="N82" s="14" t="n"/>
      <c r="O82" s="14" t="n"/>
      <c r="P82" s="14" t="n"/>
      <c r="Q82" s="14" t="n"/>
      <c r="R82" s="14" t="n"/>
    </row>
    <row r="83">
      <c r="A83" s="8" t="n"/>
      <c r="B83" s="9" t="n"/>
      <c r="C83" s="9" t="n"/>
      <c r="D83" s="10" t="n"/>
      <c r="E83" s="10" t="n"/>
      <c r="F83" s="10" t="n"/>
      <c r="G83" s="10" t="n"/>
      <c r="H83" s="10" t="n"/>
      <c r="I83" s="11" t="n"/>
      <c r="J83" s="11" t="n"/>
      <c r="K83" s="9">
        <f>IF(AND(I83&lt;&gt;"",J83&lt;&gt;""),J83-I83,"")</f>
        <v/>
      </c>
      <c r="L83" s="10" t="n"/>
      <c r="M83" s="10" t="n"/>
      <c r="N83" s="10" t="n"/>
      <c r="O83" s="10" t="n"/>
      <c r="P83" s="10" t="n"/>
      <c r="Q83" s="10" t="n"/>
      <c r="R83" s="10" t="n"/>
    </row>
    <row r="84">
      <c r="A84" s="12" t="n"/>
      <c r="B84" s="13" t="n"/>
      <c r="C84" s="13" t="n"/>
      <c r="D84" s="14" t="n"/>
      <c r="E84" s="14" t="n"/>
      <c r="F84" s="14" t="n"/>
      <c r="G84" s="14" t="n"/>
      <c r="H84" s="14" t="n"/>
      <c r="I84" s="15" t="n"/>
      <c r="J84" s="15" t="n"/>
      <c r="K84" s="13">
        <f>IF(AND(I84&lt;&gt;"",J84&lt;&gt;""),J84-I84,"")</f>
        <v/>
      </c>
      <c r="L84" s="14" t="n"/>
      <c r="M84" s="14" t="n"/>
      <c r="N84" s="14" t="n"/>
      <c r="O84" s="14" t="n"/>
      <c r="P84" s="14" t="n"/>
      <c r="Q84" s="14" t="n"/>
      <c r="R84" s="14" t="n"/>
    </row>
    <row r="85">
      <c r="A85" s="8" t="n"/>
      <c r="B85" s="9" t="n"/>
      <c r="C85" s="9" t="n"/>
      <c r="D85" s="10" t="n"/>
      <c r="E85" s="10" t="n"/>
      <c r="F85" s="10" t="n"/>
      <c r="G85" s="10" t="n"/>
      <c r="H85" s="10" t="n"/>
      <c r="I85" s="11" t="n"/>
      <c r="J85" s="11" t="n"/>
      <c r="K85" s="9">
        <f>IF(AND(I85&lt;&gt;"",J85&lt;&gt;""),J85-I85,"")</f>
        <v/>
      </c>
      <c r="L85" s="10" t="n"/>
      <c r="M85" s="10" t="n"/>
      <c r="N85" s="10" t="n"/>
      <c r="O85" s="10" t="n"/>
      <c r="P85" s="10" t="n"/>
      <c r="Q85" s="10" t="n"/>
      <c r="R85" s="10" t="n"/>
    </row>
    <row r="86">
      <c r="A86" s="12" t="n"/>
      <c r="B86" s="13" t="n"/>
      <c r="C86" s="13" t="n"/>
      <c r="D86" s="14" t="n"/>
      <c r="E86" s="14" t="n"/>
      <c r="F86" s="14" t="n"/>
      <c r="G86" s="14" t="n"/>
      <c r="H86" s="14" t="n"/>
      <c r="I86" s="15" t="n"/>
      <c r="J86" s="15" t="n"/>
      <c r="K86" s="13">
        <f>IF(AND(I86&lt;&gt;"",J86&lt;&gt;""),J86-I86,"")</f>
        <v/>
      </c>
      <c r="L86" s="14" t="n"/>
      <c r="M86" s="14" t="n"/>
      <c r="N86" s="14" t="n"/>
      <c r="O86" s="14" t="n"/>
      <c r="P86" s="14" t="n"/>
      <c r="Q86" s="14" t="n"/>
      <c r="R86" s="14" t="n"/>
    </row>
    <row r="87">
      <c r="A87" s="8" t="n"/>
      <c r="B87" s="9" t="n"/>
      <c r="C87" s="9" t="n"/>
      <c r="D87" s="10" t="n"/>
      <c r="E87" s="10" t="n"/>
      <c r="F87" s="10" t="n"/>
      <c r="G87" s="10" t="n"/>
      <c r="H87" s="10" t="n"/>
      <c r="I87" s="11" t="n"/>
      <c r="J87" s="11" t="n"/>
      <c r="K87" s="9">
        <f>IF(AND(I87&lt;&gt;"",J87&lt;&gt;""),J87-I87,"")</f>
        <v/>
      </c>
      <c r="L87" s="10" t="n"/>
      <c r="M87" s="10" t="n"/>
      <c r="N87" s="10" t="n"/>
      <c r="O87" s="10" t="n"/>
      <c r="P87" s="10" t="n"/>
      <c r="Q87" s="10" t="n"/>
      <c r="R87" s="10" t="n"/>
    </row>
    <row r="88">
      <c r="A88" s="12" t="n"/>
      <c r="B88" s="13" t="n"/>
      <c r="C88" s="13" t="n"/>
      <c r="D88" s="14" t="n"/>
      <c r="E88" s="14" t="n"/>
      <c r="F88" s="14" t="n"/>
      <c r="G88" s="14" t="n"/>
      <c r="H88" s="14" t="n"/>
      <c r="I88" s="15" t="n"/>
      <c r="J88" s="15" t="n"/>
      <c r="K88" s="13">
        <f>IF(AND(I88&lt;&gt;"",J88&lt;&gt;""),J88-I88,"")</f>
        <v/>
      </c>
      <c r="L88" s="14" t="n"/>
      <c r="M88" s="14" t="n"/>
      <c r="N88" s="14" t="n"/>
      <c r="O88" s="14" t="n"/>
      <c r="P88" s="14" t="n"/>
      <c r="Q88" s="14" t="n"/>
      <c r="R88" s="14" t="n"/>
    </row>
    <row r="89">
      <c r="A89" s="8" t="n"/>
      <c r="B89" s="9" t="n"/>
      <c r="C89" s="9" t="n"/>
      <c r="D89" s="10" t="n"/>
      <c r="E89" s="10" t="n"/>
      <c r="F89" s="10" t="n"/>
      <c r="G89" s="10" t="n"/>
      <c r="H89" s="10" t="n"/>
      <c r="I89" s="11" t="n"/>
      <c r="J89" s="11" t="n"/>
      <c r="K89" s="9">
        <f>IF(AND(I89&lt;&gt;"",J89&lt;&gt;""),J89-I89,"")</f>
        <v/>
      </c>
      <c r="L89" s="10" t="n"/>
      <c r="M89" s="10" t="n"/>
      <c r="N89" s="10" t="n"/>
      <c r="O89" s="10" t="n"/>
      <c r="P89" s="10" t="n"/>
      <c r="Q89" s="10" t="n"/>
      <c r="R89" s="10" t="n"/>
    </row>
    <row r="90">
      <c r="A90" s="12" t="n"/>
      <c r="B90" s="13" t="n"/>
      <c r="C90" s="13" t="n"/>
      <c r="D90" s="14" t="n"/>
      <c r="E90" s="14" t="n"/>
      <c r="F90" s="14" t="n"/>
      <c r="G90" s="14" t="n"/>
      <c r="H90" s="14" t="n"/>
      <c r="I90" s="15" t="n"/>
      <c r="J90" s="15" t="n"/>
      <c r="K90" s="13">
        <f>IF(AND(I90&lt;&gt;"",J90&lt;&gt;""),J90-I90,"")</f>
        <v/>
      </c>
      <c r="L90" s="14" t="n"/>
      <c r="M90" s="14" t="n"/>
      <c r="N90" s="14" t="n"/>
      <c r="O90" s="14" t="n"/>
      <c r="P90" s="14" t="n"/>
      <c r="Q90" s="14" t="n"/>
      <c r="R90" s="14" t="n"/>
    </row>
    <row r="91">
      <c r="A91" s="8" t="n"/>
      <c r="B91" s="9" t="n"/>
      <c r="C91" s="9" t="n"/>
      <c r="D91" s="10" t="n"/>
      <c r="E91" s="10" t="n"/>
      <c r="F91" s="10" t="n"/>
      <c r="G91" s="10" t="n"/>
      <c r="H91" s="10" t="n"/>
      <c r="I91" s="11" t="n"/>
      <c r="J91" s="11" t="n"/>
      <c r="K91" s="9">
        <f>IF(AND(I91&lt;&gt;"",J91&lt;&gt;""),J91-I91,"")</f>
        <v/>
      </c>
      <c r="L91" s="10" t="n"/>
      <c r="M91" s="10" t="n"/>
      <c r="N91" s="10" t="n"/>
      <c r="O91" s="10" t="n"/>
      <c r="P91" s="10" t="n"/>
      <c r="Q91" s="10" t="n"/>
      <c r="R91" s="10" t="n"/>
    </row>
    <row r="92">
      <c r="A92" s="12" t="n"/>
      <c r="B92" s="13" t="n"/>
      <c r="C92" s="13" t="n"/>
      <c r="D92" s="14" t="n"/>
      <c r="E92" s="14" t="n"/>
      <c r="F92" s="14" t="n"/>
      <c r="G92" s="14" t="n"/>
      <c r="H92" s="14" t="n"/>
      <c r="I92" s="15" t="n"/>
      <c r="J92" s="15" t="n"/>
      <c r="K92" s="13">
        <f>IF(AND(I92&lt;&gt;"",J92&lt;&gt;""),J92-I92,"")</f>
        <v/>
      </c>
      <c r="L92" s="14" t="n"/>
      <c r="M92" s="14" t="n"/>
      <c r="N92" s="14" t="n"/>
      <c r="O92" s="14" t="n"/>
      <c r="P92" s="14" t="n"/>
      <c r="Q92" s="14" t="n"/>
      <c r="R92" s="14" t="n"/>
    </row>
    <row r="93">
      <c r="A93" s="8" t="n"/>
      <c r="B93" s="9" t="n"/>
      <c r="C93" s="9" t="n"/>
      <c r="D93" s="10" t="n"/>
      <c r="E93" s="10" t="n"/>
      <c r="F93" s="10" t="n"/>
      <c r="G93" s="10" t="n"/>
      <c r="H93" s="10" t="n"/>
      <c r="I93" s="11" t="n"/>
      <c r="J93" s="11" t="n"/>
      <c r="K93" s="9">
        <f>IF(AND(I93&lt;&gt;"",J93&lt;&gt;""),J93-I93,"")</f>
        <v/>
      </c>
      <c r="L93" s="10" t="n"/>
      <c r="M93" s="10" t="n"/>
      <c r="N93" s="10" t="n"/>
      <c r="O93" s="10" t="n"/>
      <c r="P93" s="10" t="n"/>
      <c r="Q93" s="10" t="n"/>
      <c r="R93" s="10" t="n"/>
    </row>
    <row r="94">
      <c r="A94" s="12" t="n"/>
      <c r="B94" s="13" t="n"/>
      <c r="C94" s="13" t="n"/>
      <c r="D94" s="14" t="n"/>
      <c r="E94" s="14" t="n"/>
      <c r="F94" s="14" t="n"/>
      <c r="G94" s="14" t="n"/>
      <c r="H94" s="14" t="n"/>
      <c r="I94" s="15" t="n"/>
      <c r="J94" s="15" t="n"/>
      <c r="K94" s="13">
        <f>IF(AND(I94&lt;&gt;"",J94&lt;&gt;""),J94-I94,"")</f>
        <v/>
      </c>
      <c r="L94" s="14" t="n"/>
      <c r="M94" s="14" t="n"/>
      <c r="N94" s="14" t="n"/>
      <c r="O94" s="14" t="n"/>
      <c r="P94" s="14" t="n"/>
      <c r="Q94" s="14" t="n"/>
      <c r="R94" s="14" t="n"/>
    </row>
    <row r="95">
      <c r="A95" s="8" t="n"/>
      <c r="B95" s="9" t="n"/>
      <c r="C95" s="9" t="n"/>
      <c r="D95" s="10" t="n"/>
      <c r="E95" s="10" t="n"/>
      <c r="F95" s="10" t="n"/>
      <c r="G95" s="10" t="n"/>
      <c r="H95" s="10" t="n"/>
      <c r="I95" s="11" t="n"/>
      <c r="J95" s="11" t="n"/>
      <c r="K95" s="9">
        <f>IF(AND(I95&lt;&gt;"",J95&lt;&gt;""),J95-I95,"")</f>
        <v/>
      </c>
      <c r="L95" s="10" t="n"/>
      <c r="M95" s="10" t="n"/>
      <c r="N95" s="10" t="n"/>
      <c r="O95" s="10" t="n"/>
      <c r="P95" s="10" t="n"/>
      <c r="Q95" s="10" t="n"/>
      <c r="R95" s="10" t="n"/>
    </row>
    <row r="96">
      <c r="A96" s="12" t="n"/>
      <c r="B96" s="13" t="n"/>
      <c r="C96" s="13" t="n"/>
      <c r="D96" s="14" t="n"/>
      <c r="E96" s="14" t="n"/>
      <c r="F96" s="14" t="n"/>
      <c r="G96" s="14" t="n"/>
      <c r="H96" s="14" t="n"/>
      <c r="I96" s="15" t="n"/>
      <c r="J96" s="15" t="n"/>
      <c r="K96" s="13">
        <f>IF(AND(I96&lt;&gt;"",J96&lt;&gt;""),J96-I96,"")</f>
        <v/>
      </c>
      <c r="L96" s="14" t="n"/>
      <c r="M96" s="14" t="n"/>
      <c r="N96" s="14" t="n"/>
      <c r="O96" s="14" t="n"/>
      <c r="P96" s="14" t="n"/>
      <c r="Q96" s="14" t="n"/>
      <c r="R96" s="14" t="n"/>
    </row>
    <row r="97">
      <c r="A97" s="8" t="n"/>
      <c r="B97" s="9" t="n"/>
      <c r="C97" s="9" t="n"/>
      <c r="D97" s="10" t="n"/>
      <c r="E97" s="10" t="n"/>
      <c r="F97" s="10" t="n"/>
      <c r="G97" s="10" t="n"/>
      <c r="H97" s="10" t="n"/>
      <c r="I97" s="11" t="n"/>
      <c r="J97" s="11" t="n"/>
      <c r="K97" s="9">
        <f>IF(AND(I97&lt;&gt;"",J97&lt;&gt;""),J97-I97,"")</f>
        <v/>
      </c>
      <c r="L97" s="10" t="n"/>
      <c r="M97" s="10" t="n"/>
      <c r="N97" s="10" t="n"/>
      <c r="O97" s="10" t="n"/>
      <c r="P97" s="10" t="n"/>
      <c r="Q97" s="10" t="n"/>
      <c r="R97" s="10" t="n"/>
    </row>
    <row r="98">
      <c r="A98" s="12" t="n"/>
      <c r="B98" s="13" t="n"/>
      <c r="C98" s="13" t="n"/>
      <c r="D98" s="14" t="n"/>
      <c r="E98" s="14" t="n"/>
      <c r="F98" s="14" t="n"/>
      <c r="G98" s="14" t="n"/>
      <c r="H98" s="14" t="n"/>
      <c r="I98" s="15" t="n"/>
      <c r="J98" s="15" t="n"/>
      <c r="K98" s="13">
        <f>IF(AND(I98&lt;&gt;"",J98&lt;&gt;""),J98-I98,"")</f>
        <v/>
      </c>
      <c r="L98" s="14" t="n"/>
      <c r="M98" s="14" t="n"/>
      <c r="N98" s="14" t="n"/>
      <c r="O98" s="14" t="n"/>
      <c r="P98" s="14" t="n"/>
      <c r="Q98" s="14" t="n"/>
      <c r="R98" s="14" t="n"/>
    </row>
    <row r="99">
      <c r="A99" s="8" t="n"/>
      <c r="B99" s="9" t="n"/>
      <c r="C99" s="9" t="n"/>
      <c r="D99" s="10" t="n"/>
      <c r="E99" s="10" t="n"/>
      <c r="F99" s="10" t="n"/>
      <c r="G99" s="10" t="n"/>
      <c r="H99" s="10" t="n"/>
      <c r="I99" s="11" t="n"/>
      <c r="J99" s="11" t="n"/>
      <c r="K99" s="9">
        <f>IF(AND(I99&lt;&gt;"",J99&lt;&gt;""),J99-I99,"")</f>
        <v/>
      </c>
      <c r="L99" s="10" t="n"/>
      <c r="M99" s="10" t="n"/>
      <c r="N99" s="10" t="n"/>
      <c r="O99" s="10" t="n"/>
      <c r="P99" s="10" t="n"/>
      <c r="Q99" s="10" t="n"/>
      <c r="R99" s="10" t="n"/>
    </row>
    <row r="100">
      <c r="A100" s="12" t="n"/>
      <c r="B100" s="13" t="n"/>
      <c r="C100" s="13" t="n"/>
      <c r="D100" s="14" t="n"/>
      <c r="E100" s="14" t="n"/>
      <c r="F100" s="14" t="n"/>
      <c r="G100" s="14" t="n"/>
      <c r="H100" s="14" t="n"/>
      <c r="I100" s="15" t="n"/>
      <c r="J100" s="15" t="n"/>
      <c r="K100" s="13">
        <f>IF(AND(I100&lt;&gt;"",J100&lt;&gt;""),J100-I100,"")</f>
        <v/>
      </c>
      <c r="L100" s="14" t="n"/>
      <c r="M100" s="14" t="n"/>
      <c r="N100" s="14" t="n"/>
      <c r="O100" s="14" t="n"/>
      <c r="P100" s="14" t="n"/>
      <c r="Q100" s="14" t="n"/>
      <c r="R100" s="14" t="n"/>
    </row>
    <row r="101">
      <c r="A101" s="8" t="n"/>
      <c r="B101" s="9" t="n"/>
      <c r="C101" s="9" t="n"/>
      <c r="D101" s="10" t="n"/>
      <c r="E101" s="10" t="n"/>
      <c r="F101" s="10" t="n"/>
      <c r="G101" s="10" t="n"/>
      <c r="H101" s="10" t="n"/>
      <c r="I101" s="11" t="n"/>
      <c r="J101" s="11" t="n"/>
      <c r="K101" s="9">
        <f>IF(AND(I101&lt;&gt;"",J101&lt;&gt;""),J101-I101,"")</f>
        <v/>
      </c>
      <c r="L101" s="10" t="n"/>
      <c r="M101" s="10" t="n"/>
      <c r="N101" s="10" t="n"/>
      <c r="O101" s="10" t="n"/>
      <c r="P101" s="10" t="n"/>
      <c r="Q101" s="10" t="n"/>
      <c r="R101" s="10" t="n"/>
    </row>
    <row r="102">
      <c r="A102" s="12" t="n"/>
      <c r="B102" s="13" t="n"/>
      <c r="C102" s="13" t="n"/>
      <c r="D102" s="14" t="n"/>
      <c r="E102" s="14" t="n"/>
      <c r="F102" s="14" t="n"/>
      <c r="G102" s="14" t="n"/>
      <c r="H102" s="14" t="n"/>
      <c r="I102" s="15" t="n"/>
      <c r="J102" s="15" t="n"/>
      <c r="K102" s="13">
        <f>IF(AND(I102&lt;&gt;"",J102&lt;&gt;""),J102-I102,"")</f>
        <v/>
      </c>
      <c r="L102" s="14" t="n"/>
      <c r="M102" s="14" t="n"/>
      <c r="N102" s="14" t="n"/>
      <c r="O102" s="14" t="n"/>
      <c r="P102" s="14" t="n"/>
      <c r="Q102" s="14" t="n"/>
      <c r="R102" s="14" t="n"/>
    </row>
  </sheetData>
  <autoFilter ref="A2:R2"/>
  <mergeCells count="4">
    <mergeCell ref="A1:C1"/>
    <mergeCell ref="D1:K1"/>
    <mergeCell ref="L1:P1"/>
    <mergeCell ref="Q1:R1"/>
  </mergeCells>
  <conditionalFormatting sqref="M3:M102">
    <cfRule type="cellIs" priority="1" operator="equal" dxfId="0">
      <formula>"自家移植"</formula>
    </cfRule>
    <cfRule type="cellIs" priority="2" operator="equal" dxfId="1">
      <formula>"同種移植"</formula>
    </cfRule>
    <cfRule type="cellIs" priority="3" operator="equal" dxfId="2">
      <formula>"CAR-T"</formula>
    </cfRule>
    <cfRule type="cellIs" priority="4" operator="equal" dxfId="3">
      <formula>"化学療法"</formula>
    </cfRule>
    <cfRule type="cellIs" priority="5" operator="equal" dxfId="4">
      <formula>"分子標的薬"</formula>
    </cfRule>
    <cfRule type="cellIs" priority="6" operator="equal" dxfId="5">
      <formula>"免疫療法"</formula>
    </cfRule>
    <cfRule type="cellIs" priority="7" operator="equal" dxfId="6">
      <formula>"放射線"</formula>
    </cfRule>
    <cfRule type="cellIs" priority="8" operator="equal" dxfId="7">
      <formula>"BSC"</formula>
    </cfRule>
    <cfRule type="cellIs" priority="9" operator="equal" dxfId="8">
      <formula>"経過観察"</formula>
    </cfRule>
  </conditionalFormatting>
  <conditionalFormatting sqref="Q3:Q102">
    <cfRule type="cellIs" priority="10" operator="equal" dxfId="0">
      <formula>"入院中"</formula>
    </cfRule>
    <cfRule type="cellIs" priority="11" operator="equal" dxfId="8">
      <formula>"退院済"</formula>
    </cfRule>
    <cfRule type="cellIs" priority="12" operator="equal" dxfId="1">
      <formula>"外来移行"</formula>
    </cfRule>
  </conditionalFormatting>
  <conditionalFormatting sqref="L3:L102">
    <cfRule type="cellIs" priority="13" operator="equal" dxfId="9">
      <formula>"3"</formula>
    </cfRule>
    <cfRule type="cellIs" priority="14" operator="equal" dxfId="9">
      <formula>"4"</formula>
    </cfRule>
  </conditionalFormatting>
  <conditionalFormatting sqref="P3:P102">
    <cfRule type="cellIs" priority="15" operator="equal" dxfId="1">
      <formula>"CR"</formula>
    </cfRule>
    <cfRule type="cellIs" priority="16" operator="equal" dxfId="1">
      <formula>"CRi"</formula>
    </cfRule>
    <cfRule type="cellIs" priority="17" operator="equal" dxfId="10">
      <formula>"sCR"</formula>
    </cfRule>
    <cfRule type="cellIs" priority="18" operator="equal" dxfId="11">
      <formula>"VGPR"</formula>
    </cfRule>
    <cfRule type="cellIs" priority="19" operator="equal" dxfId="0">
      <formula>"PR"</formula>
    </cfRule>
    <cfRule type="cellIs" priority="20" operator="equal" dxfId="5">
      <formula>"SD"</formula>
    </cfRule>
    <cfRule type="cellIs" priority="21" operator="equal" dxfId="2">
      <formula>"PD"</formula>
    </cfRule>
    <cfRule type="cellIs" priority="22" operator="equal" dxfId="2">
      <formula>"再発"</formula>
    </cfRule>
    <cfRule type="cellIs" priority="23" operator="equal" dxfId="9">
      <formula>"死亡"</formula>
    </cfRule>
    <cfRule type="cellIs" priority="24" operator="equal" dxfId="12">
      <formula>"評価前"</formula>
    </cfRule>
    <cfRule type="cellIs" priority="25" operator="equal" dxfId="12">
      <formula>"N/A"</formula>
    </cfRule>
  </conditionalFormatting>
  <conditionalFormatting sqref="H3:H102">
    <cfRule type="cellIs" priority="26" operator="equal" dxfId="10">
      <formula>"Favorable"</formula>
    </cfRule>
    <cfRule type="cellIs" priority="27" operator="equal" dxfId="10">
      <formula>"Low"</formula>
    </cfRule>
    <cfRule type="cellIs" priority="28" operator="equal" dxfId="0">
      <formula>"Standard"</formula>
    </cfRule>
    <cfRule type="cellIs" priority="29" operator="equal" dxfId="5">
      <formula>"Intermediate"</formula>
    </cfRule>
    <cfRule type="cellIs" priority="30" operator="equal" dxfId="2">
      <formula>"High"</formula>
    </cfRule>
    <cfRule type="cellIs" priority="31" operator="equal" dxfId="9">
      <formula>"Adverse"</formula>
    </cfRule>
    <cfRule type="cellIs" priority="32" operator="equal" dxfId="9">
      <formula>"Very high"</formula>
    </cfRule>
    <cfRule type="cellIs" priority="33" operator="equal" dxfId="12">
      <formula>"N/A"</formula>
    </cfRule>
  </conditionalFormatting>
  <dataValidations count="11">
    <dataValidation sqref="C3:C102" showDropDown="0" showInputMessage="0" showErrorMessage="0" allowBlank="1" errorTitle="入力エラー" error="リストから選択してください" type="list">
      <formula1>sex</formula1>
    </dataValidation>
    <dataValidation sqref="D3:D102" showDropDown="0" showInputMessage="0" showErrorMessage="0" allowBlank="1" errorTitle="入力エラー" error="リストから選択してください" type="list">
      <formula1>disease</formula1>
    </dataValidation>
    <dataValidation sqref="E3:E102" showDropDown="0" showInputMessage="0" showErrorMessage="0" allowBlank="1" errorTitle="入力エラー" error="リストから選択してください" type="list">
      <formula1>stage</formula1>
    </dataValidation>
    <dataValidation sqref="F3:F102" showDropDown="0" showInputMessage="0" showErrorMessage="0" allowBlank="1" errorTitle="入力エラー" error="リストから選択してください" type="list">
      <formula1>cytogenetics</formula1>
    </dataValidation>
    <dataValidation sqref="G3:G102" showDropDown="0" showInputMessage="0" showErrorMessage="0" allowBlank="1" errorTitle="入力エラー" error="リストから選択してください" type="list">
      <formula1>gene</formula1>
    </dataValidation>
    <dataValidation sqref="H3:H102" showDropDown="0" showInputMessage="0" showErrorMessage="0" allowBlank="1" errorTitle="入力エラー" error="リストから選択してください" type="list">
      <formula1>risk</formula1>
    </dataValidation>
    <dataValidation sqref="L3:L102" showDropDown="0" showInputMessage="0" showErrorMessage="0" allowBlank="1" errorTitle="入力エラー" error="リストから選択してください" type="list">
      <formula1>ps</formula1>
    </dataValidation>
    <dataValidation sqref="M3:M102" showDropDown="0" showInputMessage="0" showErrorMessage="0" allowBlank="1" errorTitle="入力エラー" error="リストから選択してください" type="list">
      <formula1>label</formula1>
    </dataValidation>
    <dataValidation sqref="N3:N102" showDropDown="0" showInputMessage="0" showErrorMessage="0" allowBlank="1" errorTitle="入力エラー" error="リストから選択してください" type="list">
      <formula1>regimen</formula1>
    </dataValidation>
    <dataValidation sqref="P3:P102" showDropDown="0" showInputMessage="0" showErrorMessage="0" allowBlank="1" errorTitle="入力エラー" error="リストから選択してください" type="list">
      <formula1>outcome</formula1>
    </dataValidation>
    <dataValidation sqref="Q3:Q102" showDropDown="0" showInputMessage="0" showErrorMessage="0" allowBlank="1" errorTitle="入力エラー" error="リストから選択してください" type="list">
      <formula1>status</formula1>
    </dataValidation>
  </dataValidations>
  <pageMargins left="0.4" right="0.4" top="0.5" bottom="0.5" header="0.3" footer="0.3"/>
  <pageSetup orientation="landscape" paperSize="9" fitToHeight="0" fitToWidth="1"/>
  <headerFooter>
    <oddHeader>&amp;C&amp;10 入院患者</oddHeader>
    <oddFooter>&amp;C&amp;8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sex</t>
        </is>
      </c>
      <c r="B1" t="inlineStr">
        <is>
          <t>ps</t>
        </is>
      </c>
      <c r="C1" t="inlineStr">
        <is>
          <t>disease</t>
        </is>
      </c>
      <c r="D1" t="inlineStr">
        <is>
          <t>label</t>
        </is>
      </c>
      <c r="E1" t="inlineStr">
        <is>
          <t>followup</t>
        </is>
      </c>
      <c r="F1" t="inlineStr">
        <is>
          <t>stage</t>
        </is>
      </c>
      <c r="G1" t="inlineStr">
        <is>
          <t>status</t>
        </is>
      </c>
      <c r="H1" t="inlineStr">
        <is>
          <t>urgency</t>
        </is>
      </c>
      <c r="I1" t="inlineStr">
        <is>
          <t>outcome</t>
        </is>
      </c>
      <c r="J1" t="inlineStr">
        <is>
          <t>regimen</t>
        </is>
      </c>
      <c r="K1" t="inlineStr">
        <is>
          <t>cytogenetics</t>
        </is>
      </c>
      <c r="L1" t="inlineStr">
        <is>
          <t>gene</t>
        </is>
      </c>
      <c r="M1" t="inlineStr">
        <is>
          <t>risk</t>
        </is>
      </c>
      <c r="N1" t="inlineStr">
        <is>
          <t>dept</t>
        </is>
      </c>
    </row>
    <row r="2">
      <c r="A2" t="inlineStr">
        <is>
          <t>M</t>
        </is>
      </c>
      <c r="B2" t="inlineStr">
        <is>
          <t>0</t>
        </is>
      </c>
      <c r="C2" t="inlineStr">
        <is>
          <t>AML</t>
        </is>
      </c>
      <c r="D2" t="inlineStr">
        <is>
          <t>化学療法</t>
        </is>
      </c>
      <c r="E2" t="inlineStr">
        <is>
          <t>要</t>
        </is>
      </c>
      <c r="F2" t="inlineStr">
        <is>
          <t>I</t>
        </is>
      </c>
      <c r="G2" t="inlineStr">
        <is>
          <t>入院中</t>
        </is>
      </c>
      <c r="H2" t="inlineStr">
        <is>
          <t>緊急</t>
        </is>
      </c>
      <c r="I2" t="inlineStr">
        <is>
          <t>CR</t>
        </is>
      </c>
      <c r="J2" t="inlineStr">
        <is>
          <t>AZA+VEN</t>
        </is>
      </c>
      <c r="K2" t="inlineStr">
        <is>
          <t>t(8;21)</t>
        </is>
      </c>
      <c r="L2" t="inlineStr">
        <is>
          <t>FLT3-ITD</t>
        </is>
      </c>
      <c r="M2" t="inlineStr">
        <is>
          <t>Favorable</t>
        </is>
      </c>
      <c r="N2" t="inlineStr">
        <is>
          <t>消化器内科</t>
        </is>
      </c>
    </row>
    <row r="3">
      <c r="A3" t="inlineStr">
        <is>
          <t>F</t>
        </is>
      </c>
      <c r="B3" t="inlineStr">
        <is>
          <t>1</t>
        </is>
      </c>
      <c r="C3" t="inlineStr">
        <is>
          <t>ALL</t>
        </is>
      </c>
      <c r="D3" t="inlineStr">
        <is>
          <t>自家移植</t>
        </is>
      </c>
      <c r="E3" t="inlineStr">
        <is>
          <t>不要</t>
        </is>
      </c>
      <c r="F3" t="inlineStr">
        <is>
          <t>II</t>
        </is>
      </c>
      <c r="G3" t="inlineStr">
        <is>
          <t>退院済</t>
        </is>
      </c>
      <c r="H3" t="inlineStr">
        <is>
          <t>通常</t>
        </is>
      </c>
      <c r="I3" t="inlineStr">
        <is>
          <t>CRi</t>
        </is>
      </c>
      <c r="J3" t="inlineStr">
        <is>
          <t>7+3</t>
        </is>
      </c>
      <c r="K3" t="inlineStr">
        <is>
          <t>inv(16)</t>
        </is>
      </c>
      <c r="L3" t="inlineStr">
        <is>
          <t>FLT3-TKD</t>
        </is>
      </c>
      <c r="M3" t="inlineStr">
        <is>
          <t>Intermediate</t>
        </is>
      </c>
      <c r="N3" t="inlineStr">
        <is>
          <t>循環器内科</t>
        </is>
      </c>
    </row>
    <row r="4">
      <c r="B4" t="inlineStr">
        <is>
          <t>2</t>
        </is>
      </c>
      <c r="C4" t="inlineStr">
        <is>
          <t>CML</t>
        </is>
      </c>
      <c r="D4" t="inlineStr">
        <is>
          <t>同種移植</t>
        </is>
      </c>
      <c r="E4" t="inlineStr">
        <is>
          <t>済</t>
        </is>
      </c>
      <c r="F4" t="inlineStr">
        <is>
          <t>III</t>
        </is>
      </c>
      <c r="G4" t="inlineStr">
        <is>
          <t>外来移行</t>
        </is>
      </c>
      <c r="I4" t="inlineStr">
        <is>
          <t>PR</t>
        </is>
      </c>
      <c r="J4" t="inlineStr">
        <is>
          <t>FLAG-IDA</t>
        </is>
      </c>
      <c r="K4" t="inlineStr">
        <is>
          <t>t(15;17)</t>
        </is>
      </c>
      <c r="L4" t="inlineStr">
        <is>
          <t>NPM1</t>
        </is>
      </c>
      <c r="M4" t="inlineStr">
        <is>
          <t>Adverse</t>
        </is>
      </c>
      <c r="N4" t="inlineStr">
        <is>
          <t>呼吸器内科</t>
        </is>
      </c>
    </row>
    <row r="5">
      <c r="B5" t="inlineStr">
        <is>
          <t>3</t>
        </is>
      </c>
      <c r="C5" t="inlineStr">
        <is>
          <t>CLL</t>
        </is>
      </c>
      <c r="D5" t="inlineStr">
        <is>
          <t>CAR-T</t>
        </is>
      </c>
      <c r="F5" t="inlineStr">
        <is>
          <t>IV</t>
        </is>
      </c>
      <c r="I5" t="inlineStr">
        <is>
          <t>VGPR</t>
        </is>
      </c>
      <c r="J5" t="inlineStr">
        <is>
          <t>AZA</t>
        </is>
      </c>
      <c r="K5" t="inlineStr">
        <is>
          <t>t(9;11)</t>
        </is>
      </c>
      <c r="L5" t="inlineStr">
        <is>
          <t>CEBPA(bi)</t>
        </is>
      </c>
      <c r="M5" t="inlineStr">
        <is>
          <t>Very high</t>
        </is>
      </c>
      <c r="N5" t="inlineStr">
        <is>
          <t>腎臓内科</t>
        </is>
      </c>
    </row>
    <row r="6">
      <c r="B6" t="inlineStr">
        <is>
          <t>4</t>
        </is>
      </c>
      <c r="C6" t="inlineStr">
        <is>
          <t>MDS</t>
        </is>
      </c>
      <c r="D6" t="inlineStr">
        <is>
          <t>分子標的薬</t>
        </is>
      </c>
      <c r="F6" t="inlineStr">
        <is>
          <t>Limited</t>
        </is>
      </c>
      <c r="I6" t="inlineStr">
        <is>
          <t>sCR</t>
        </is>
      </c>
      <c r="J6" t="inlineStr">
        <is>
          <t>AZA+IVO</t>
        </is>
      </c>
      <c r="K6" t="inlineStr">
        <is>
          <t>t(6;9)</t>
        </is>
      </c>
      <c r="L6" t="inlineStr">
        <is>
          <t>RUNX1</t>
        </is>
      </c>
      <c r="M6" t="inlineStr">
        <is>
          <t>High</t>
        </is>
      </c>
      <c r="N6" t="inlineStr">
        <is>
          <t>内分泌内科</t>
        </is>
      </c>
    </row>
    <row r="7">
      <c r="C7" t="inlineStr">
        <is>
          <t>MPN</t>
        </is>
      </c>
      <c r="D7" t="inlineStr">
        <is>
          <t>免疫療法</t>
        </is>
      </c>
      <c r="F7" t="inlineStr">
        <is>
          <t>Extensive</t>
        </is>
      </c>
      <c r="I7" t="inlineStr">
        <is>
          <t>SD</t>
        </is>
      </c>
      <c r="J7" t="inlineStr">
        <is>
          <t>LDAC</t>
        </is>
      </c>
      <c r="K7" t="inlineStr">
        <is>
          <t>inv(3)</t>
        </is>
      </c>
      <c r="L7" t="inlineStr">
        <is>
          <t>ASXL1</t>
        </is>
      </c>
      <c r="M7" t="inlineStr">
        <is>
          <t>Standard</t>
        </is>
      </c>
      <c r="N7" t="inlineStr">
        <is>
          <t>神経内科</t>
        </is>
      </c>
    </row>
    <row r="8">
      <c r="C8" t="inlineStr">
        <is>
          <t>CMML</t>
        </is>
      </c>
      <c r="D8" t="inlineStr">
        <is>
          <t>放射線</t>
        </is>
      </c>
      <c r="F8" t="inlineStr">
        <is>
          <t>ISS-I</t>
        </is>
      </c>
      <c r="I8" t="inlineStr">
        <is>
          <t>PD</t>
        </is>
      </c>
      <c r="J8" t="inlineStr">
        <is>
          <t>HyperCVAD</t>
        </is>
      </c>
      <c r="K8" t="inlineStr">
        <is>
          <t>t(v;11q23)</t>
        </is>
      </c>
      <c r="L8" t="inlineStr">
        <is>
          <t>TP53</t>
        </is>
      </c>
      <c r="M8" t="inlineStr">
        <is>
          <t>Low</t>
        </is>
      </c>
      <c r="N8" t="inlineStr">
        <is>
          <t>膠原病内科</t>
        </is>
      </c>
    </row>
    <row r="9">
      <c r="C9" t="inlineStr">
        <is>
          <t>DLBCL</t>
        </is>
      </c>
      <c r="D9" t="inlineStr">
        <is>
          <t>BSC</t>
        </is>
      </c>
      <c r="F9" t="inlineStr">
        <is>
          <t>ISS-II</t>
        </is>
      </c>
      <c r="I9" t="inlineStr">
        <is>
          <t>再発</t>
        </is>
      </c>
      <c r="J9" t="inlineStr">
        <is>
          <t>Ino+mP</t>
        </is>
      </c>
      <c r="K9" t="inlineStr">
        <is>
          <t>del(5q)</t>
        </is>
      </c>
      <c r="L9" t="inlineStr">
        <is>
          <t>IDH1</t>
        </is>
      </c>
      <c r="M9" t="inlineStr">
        <is>
          <t>N/A</t>
        </is>
      </c>
      <c r="N9" t="inlineStr">
        <is>
          <t>一般外科</t>
        </is>
      </c>
    </row>
    <row r="10">
      <c r="C10" t="inlineStr">
        <is>
          <t>FL</t>
        </is>
      </c>
      <c r="D10" t="inlineStr">
        <is>
          <t>経過観察</t>
        </is>
      </c>
      <c r="F10" t="inlineStr">
        <is>
          <t>ISS-III</t>
        </is>
      </c>
      <c r="I10" t="inlineStr">
        <is>
          <t>死亡</t>
        </is>
      </c>
      <c r="J10" t="inlineStr">
        <is>
          <t>BLN+chemo</t>
        </is>
      </c>
      <c r="K10" t="inlineStr">
        <is>
          <t>-5</t>
        </is>
      </c>
      <c r="L10" t="inlineStr">
        <is>
          <t>IDH2</t>
        </is>
      </c>
      <c r="N10" t="inlineStr">
        <is>
          <t>心臓外科</t>
        </is>
      </c>
    </row>
    <row r="11">
      <c r="C11" t="inlineStr">
        <is>
          <t>MCL</t>
        </is>
      </c>
      <c r="F11" t="inlineStr">
        <is>
          <t>R-ISS-I</t>
        </is>
      </c>
      <c r="I11" t="inlineStr">
        <is>
          <t>評価前</t>
        </is>
      </c>
      <c r="J11" t="inlineStr">
        <is>
          <t>Ph+ALL(DAS)</t>
        </is>
      </c>
      <c r="K11" t="inlineStr">
        <is>
          <t>del(7q)</t>
        </is>
      </c>
      <c r="L11" t="inlineStr">
        <is>
          <t>DNMT3A</t>
        </is>
      </c>
      <c r="N11" t="inlineStr">
        <is>
          <t>脳神経外科</t>
        </is>
      </c>
    </row>
    <row r="12">
      <c r="C12" t="inlineStr">
        <is>
          <t>BL</t>
        </is>
      </c>
      <c r="F12" t="inlineStr">
        <is>
          <t>R-ISS-II</t>
        </is>
      </c>
      <c r="I12" t="inlineStr">
        <is>
          <t>N/A</t>
        </is>
      </c>
      <c r="J12" t="inlineStr">
        <is>
          <t>R-CHOP</t>
        </is>
      </c>
      <c r="K12" t="inlineStr">
        <is>
          <t>-7</t>
        </is>
      </c>
      <c r="L12" t="inlineStr">
        <is>
          <t>KIT</t>
        </is>
      </c>
      <c r="N12" t="inlineStr">
        <is>
          <t>整形外科</t>
        </is>
      </c>
    </row>
    <row r="13">
      <c r="C13" t="inlineStr">
        <is>
          <t>MALT</t>
        </is>
      </c>
      <c r="F13" t="inlineStr">
        <is>
          <t>R-ISS-III</t>
        </is>
      </c>
      <c r="J13" t="inlineStr">
        <is>
          <t>Pola-R-CHP</t>
        </is>
      </c>
      <c r="K13" t="inlineStr">
        <is>
          <t>complex</t>
        </is>
      </c>
      <c r="L13" t="inlineStr">
        <is>
          <t>IKZF1</t>
        </is>
      </c>
      <c r="N13" t="inlineStr">
        <is>
          <t>泌尿器科</t>
        </is>
      </c>
    </row>
    <row r="14">
      <c r="C14" t="inlineStr">
        <is>
          <t>ATLL</t>
        </is>
      </c>
      <c r="F14" t="inlineStr">
        <is>
          <t>N/A</t>
        </is>
      </c>
      <c r="J14" t="inlineStr">
        <is>
          <t>R-ICE</t>
        </is>
      </c>
      <c r="K14" t="inlineStr">
        <is>
          <t>normal karyotype</t>
        </is>
      </c>
      <c r="L14" t="inlineStr">
        <is>
          <t>PAX5</t>
        </is>
      </c>
      <c r="N14" t="inlineStr">
        <is>
          <t>産婦人科</t>
        </is>
      </c>
    </row>
    <row r="15">
      <c r="C15" t="inlineStr">
        <is>
          <t>PTCL</t>
        </is>
      </c>
      <c r="J15" t="inlineStr">
        <is>
          <t>R-DHAP</t>
        </is>
      </c>
      <c r="K15" t="inlineStr">
        <is>
          <t>t(9;22)/BCR-ABL</t>
        </is>
      </c>
      <c r="L15" t="inlineStr">
        <is>
          <t>Ph-like</t>
        </is>
      </c>
      <c r="N15" t="inlineStr">
        <is>
          <t>皮膚科</t>
        </is>
      </c>
    </row>
    <row r="16">
      <c r="C16" t="inlineStr">
        <is>
          <t>AITL</t>
        </is>
      </c>
      <c r="J16" t="inlineStr">
        <is>
          <t>R-GDP</t>
        </is>
      </c>
      <c r="K16" t="inlineStr">
        <is>
          <t>t(4;11)</t>
        </is>
      </c>
      <c r="L16" t="inlineStr">
        <is>
          <t>SF3B1</t>
        </is>
      </c>
      <c r="N16" t="inlineStr">
        <is>
          <t>耳鼻咽喉科</t>
        </is>
      </c>
    </row>
    <row r="17">
      <c r="C17" t="inlineStr">
        <is>
          <t>NK/T</t>
        </is>
      </c>
      <c r="J17" t="inlineStr">
        <is>
          <t>R-MPV</t>
        </is>
      </c>
      <c r="K17" t="inlineStr">
        <is>
          <t>t(1;19)</t>
        </is>
      </c>
      <c r="L17" t="inlineStr">
        <is>
          <t>SRSF2</t>
        </is>
      </c>
      <c r="N17" t="inlineStr">
        <is>
          <t>眼科</t>
        </is>
      </c>
    </row>
    <row r="18">
      <c r="C18" t="inlineStr">
        <is>
          <t>HL</t>
        </is>
      </c>
      <c r="J18" t="inlineStr">
        <is>
          <t>BR</t>
        </is>
      </c>
      <c r="K18" t="inlineStr">
        <is>
          <t>hyper(&gt;50)</t>
        </is>
      </c>
      <c r="L18" t="inlineStr">
        <is>
          <t>U2AF1</t>
        </is>
      </c>
      <c r="N18" t="inlineStr">
        <is>
          <t>精神科</t>
        </is>
      </c>
    </row>
    <row r="19">
      <c r="C19" t="inlineStr">
        <is>
          <t>MM</t>
        </is>
      </c>
      <c r="J19" t="inlineStr">
        <is>
          <t>R-CVP</t>
        </is>
      </c>
      <c r="K19" t="inlineStr">
        <is>
          <t>hypo(&lt;44)</t>
        </is>
      </c>
      <c r="L19" t="inlineStr">
        <is>
          <t>ZRSR2</t>
        </is>
      </c>
      <c r="N19" t="inlineStr">
        <is>
          <t>小児科</t>
        </is>
      </c>
    </row>
    <row r="20">
      <c r="C20" t="inlineStr">
        <is>
          <t>WM</t>
        </is>
      </c>
      <c r="J20" t="inlineStr">
        <is>
          <t>R2</t>
        </is>
      </c>
      <c r="K20" t="inlineStr">
        <is>
          <t>t(4;14)</t>
        </is>
      </c>
      <c r="L20" t="inlineStr">
        <is>
          <t>EZH2</t>
        </is>
      </c>
      <c r="N20" t="inlineStr">
        <is>
          <t>救急科</t>
        </is>
      </c>
    </row>
    <row r="21">
      <c r="C21" t="inlineStr">
        <is>
          <t>AL amyloidosis</t>
        </is>
      </c>
      <c r="J21" t="inlineStr">
        <is>
          <t>Ob-CHOP</t>
        </is>
      </c>
      <c r="K21" t="inlineStr">
        <is>
          <t>t(14;16)</t>
        </is>
      </c>
      <c r="L21" t="inlineStr">
        <is>
          <t>del(17p)/TP53</t>
        </is>
      </c>
      <c r="N21" t="inlineStr">
        <is>
          <t>麻酔科</t>
        </is>
      </c>
    </row>
    <row r="22">
      <c r="C22" t="inlineStr">
        <is>
          <t>AA</t>
        </is>
      </c>
      <c r="J22" t="inlineStr">
        <is>
          <t>ABVD</t>
        </is>
      </c>
      <c r="K22" t="inlineStr">
        <is>
          <t>t(11;14)</t>
        </is>
      </c>
      <c r="L22" t="inlineStr">
        <is>
          <t>MYC rearr.</t>
        </is>
      </c>
      <c r="N22" t="inlineStr">
        <is>
          <t>放射線科</t>
        </is>
      </c>
    </row>
    <row r="23">
      <c r="C23" t="inlineStr">
        <is>
          <t>PNH</t>
        </is>
      </c>
      <c r="J23" t="inlineStr">
        <is>
          <t>A-AVD</t>
        </is>
      </c>
      <c r="K23" t="inlineStr">
        <is>
          <t>del(17p)</t>
        </is>
      </c>
      <c r="L23" t="inlineStr">
        <is>
          <t>BCL2 rearr.</t>
        </is>
      </c>
      <c r="N23" t="inlineStr">
        <is>
          <t>病理</t>
        </is>
      </c>
    </row>
    <row r="24">
      <c r="C24" t="inlineStr">
        <is>
          <t>ITP</t>
        </is>
      </c>
      <c r="J24" t="inlineStr">
        <is>
          <t>BV+AVD</t>
        </is>
      </c>
      <c r="K24" t="inlineStr">
        <is>
          <t>gain(1q)</t>
        </is>
      </c>
      <c r="L24" t="inlineStr">
        <is>
          <t>BCL6 rearr.</t>
        </is>
      </c>
      <c r="N24" t="inlineStr">
        <is>
          <t>その他</t>
        </is>
      </c>
    </row>
    <row r="25">
      <c r="C25" t="inlineStr">
        <is>
          <t>TTP</t>
        </is>
      </c>
      <c r="J25" t="inlineStr">
        <is>
          <t>VRd</t>
        </is>
      </c>
      <c r="K25" t="inlineStr">
        <is>
          <t>del(20q)</t>
        </is>
      </c>
      <c r="L25" t="inlineStr">
        <is>
          <t>Double-hit</t>
        </is>
      </c>
    </row>
    <row r="26">
      <c r="C26" t="inlineStr">
        <is>
          <t>HUS</t>
        </is>
      </c>
      <c r="J26" t="inlineStr">
        <is>
          <t>DRd</t>
        </is>
      </c>
      <c r="K26" t="inlineStr">
        <is>
          <t>del(5q) isolated</t>
        </is>
      </c>
      <c r="L26" t="inlineStr">
        <is>
          <t>Triple-hit</t>
        </is>
      </c>
    </row>
    <row r="27">
      <c r="C27" t="inlineStr">
        <is>
          <t>DIC</t>
        </is>
      </c>
      <c r="J27" t="inlineStr">
        <is>
          <t>Dara-VRd</t>
        </is>
      </c>
      <c r="K27" t="inlineStr">
        <is>
          <t>その他</t>
        </is>
      </c>
      <c r="L27" t="inlineStr">
        <is>
          <t>その他</t>
        </is>
      </c>
    </row>
    <row r="28">
      <c r="C28" t="inlineStr">
        <is>
          <t>HLH</t>
        </is>
      </c>
      <c r="J28" t="inlineStr">
        <is>
          <t>KRd</t>
        </is>
      </c>
      <c r="K28" t="inlineStr">
        <is>
          <t>検査中</t>
        </is>
      </c>
      <c r="L28" t="inlineStr">
        <is>
          <t>検査中</t>
        </is>
      </c>
    </row>
    <row r="29">
      <c r="C29" t="inlineStr">
        <is>
          <t>その他</t>
        </is>
      </c>
      <c r="J29" t="inlineStr">
        <is>
          <t>IRd</t>
        </is>
      </c>
      <c r="K29" t="inlineStr">
        <is>
          <t>N/A</t>
        </is>
      </c>
      <c r="L29" t="inlineStr">
        <is>
          <t>N/A</t>
        </is>
      </c>
    </row>
    <row r="30">
      <c r="J30" t="inlineStr">
        <is>
          <t>Dara-Kd</t>
        </is>
      </c>
    </row>
    <row r="31">
      <c r="J31" t="inlineStr">
        <is>
          <t>VCd</t>
        </is>
      </c>
    </row>
    <row r="32">
      <c r="J32" t="inlineStr">
        <is>
          <t>Elo-Pd</t>
        </is>
      </c>
    </row>
    <row r="33">
      <c r="J33" t="inlineStr">
        <is>
          <t>IMA</t>
        </is>
      </c>
    </row>
    <row r="34">
      <c r="J34" t="inlineStr">
        <is>
          <t>DAS</t>
        </is>
      </c>
    </row>
    <row r="35">
      <c r="J35" t="inlineStr">
        <is>
          <t>NIL</t>
        </is>
      </c>
    </row>
    <row r="36">
      <c r="J36" t="inlineStr">
        <is>
          <t>BOS</t>
        </is>
      </c>
    </row>
    <row r="37">
      <c r="J37" t="inlineStr">
        <is>
          <t>PON</t>
        </is>
      </c>
    </row>
    <row r="38">
      <c r="J38" t="inlineStr">
        <is>
          <t>ASC</t>
        </is>
      </c>
    </row>
    <row r="39">
      <c r="J39" t="inlineStr">
        <is>
          <t>Auto-PBSCT</t>
        </is>
      </c>
    </row>
    <row r="40">
      <c r="J40" t="inlineStr">
        <is>
          <t>Allo-PBSCT</t>
        </is>
      </c>
    </row>
    <row r="41">
      <c r="J41" t="inlineStr">
        <is>
          <t>Allo-BMT</t>
        </is>
      </c>
    </row>
    <row r="42">
      <c r="J42" t="inlineStr">
        <is>
          <t>CBT</t>
        </is>
      </c>
    </row>
    <row r="43">
      <c r="J43" t="inlineStr">
        <is>
          <t>CAR-T(tisa)</t>
        </is>
      </c>
    </row>
    <row r="44">
      <c r="J44" t="inlineStr">
        <is>
          <t>CAR-T(axi)</t>
        </is>
      </c>
    </row>
    <row r="45">
      <c r="J45" t="inlineStr">
        <is>
          <t>CAR-T(liso)</t>
        </is>
      </c>
    </row>
    <row r="46">
      <c r="J46" t="inlineStr">
        <is>
          <t>その他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L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2" customWidth="1" min="4" max="4"/>
    <col width="16" customWidth="1" min="5" max="5"/>
    <col width="16" customWidth="1" min="6" max="6"/>
    <col width="14" customWidth="1" min="7" max="7"/>
    <col width="30" customWidth="1" min="8" max="8"/>
    <col width="20" customWidth="1" min="9" max="9"/>
    <col width="36" customWidth="1" min="10" max="10"/>
    <col width="14" customWidth="1" min="11" max="11"/>
    <col width="40" customWidth="1" min="12" max="12"/>
  </cols>
  <sheetData>
    <row r="1">
      <c r="A1" s="16" t="inlineStr">
        <is>
          <t>患者情報</t>
        </is>
      </c>
      <c r="B1" s="17" t="n"/>
      <c r="C1" s="17" t="n"/>
      <c r="D1" s="18" t="inlineStr">
        <is>
          <t>コンサルト内容</t>
        </is>
      </c>
      <c r="E1" s="19" t="n"/>
      <c r="F1" s="19" t="n"/>
      <c r="G1" s="19" t="n"/>
      <c r="H1" s="19" t="n"/>
      <c r="I1" s="19" t="n"/>
      <c r="J1" s="20" t="inlineStr">
        <is>
          <t>対応</t>
        </is>
      </c>
      <c r="K1" s="21" t="n"/>
      <c r="L1" s="20" t="inlineStr">
        <is>
          <t>その他</t>
        </is>
      </c>
    </row>
    <row r="2">
      <c r="A2" s="22" t="inlineStr">
        <is>
          <t>ID</t>
        </is>
      </c>
      <c r="B2" s="22" t="inlineStr">
        <is>
          <t>年齢</t>
        </is>
      </c>
      <c r="C2" s="22" t="inlineStr">
        <is>
          <t>性別</t>
        </is>
      </c>
      <c r="D2" s="22" t="inlineStr">
        <is>
          <t>緊急度</t>
        </is>
      </c>
      <c r="E2" s="22" t="inlineStr">
        <is>
          <t>コンサルト日</t>
        </is>
      </c>
      <c r="F2" s="22" t="inlineStr">
        <is>
          <t>依頼科</t>
        </is>
      </c>
      <c r="G2" s="22" t="inlineStr">
        <is>
          <t>依頼医</t>
        </is>
      </c>
      <c r="H2" s="22" t="inlineStr">
        <is>
          <t>コンサルト理由</t>
        </is>
      </c>
      <c r="I2" s="22" t="inlineStr">
        <is>
          <t>疾患(疑い含む)</t>
        </is>
      </c>
      <c r="J2" s="22" t="inlineStr">
        <is>
          <t>対応内容</t>
        </is>
      </c>
      <c r="K2" s="22" t="inlineStr">
        <is>
          <t>フォロー要否</t>
        </is>
      </c>
      <c r="L2" s="22" t="inlineStr">
        <is>
          <t>備考</t>
        </is>
      </c>
    </row>
    <row r="3">
      <c r="A3" s="8" t="n"/>
      <c r="B3" s="9" t="n"/>
      <c r="C3" s="9" t="n"/>
      <c r="D3" s="10" t="n"/>
      <c r="E3" s="11" t="n"/>
      <c r="F3" s="10" t="n"/>
      <c r="G3" s="10" t="n"/>
      <c r="H3" s="10" t="n"/>
      <c r="I3" s="10" t="n"/>
      <c r="J3" s="10" t="n"/>
      <c r="K3" s="10" t="n"/>
      <c r="L3" s="10" t="n"/>
    </row>
    <row r="4">
      <c r="A4" s="23" t="n"/>
      <c r="B4" s="24" t="n"/>
      <c r="C4" s="24" t="n"/>
      <c r="D4" s="25" t="n"/>
      <c r="E4" s="26" t="n"/>
      <c r="F4" s="25" t="n"/>
      <c r="G4" s="25" t="n"/>
      <c r="H4" s="25" t="n"/>
      <c r="I4" s="25" t="n"/>
      <c r="J4" s="25" t="n"/>
      <c r="K4" s="25" t="n"/>
      <c r="L4" s="25" t="n"/>
    </row>
    <row r="5">
      <c r="A5" s="8" t="n"/>
      <c r="B5" s="9" t="n"/>
      <c r="C5" s="9" t="n"/>
      <c r="D5" s="10" t="n"/>
      <c r="E5" s="11" t="n"/>
      <c r="F5" s="10" t="n"/>
      <c r="G5" s="10" t="n"/>
      <c r="H5" s="10" t="n"/>
      <c r="I5" s="10" t="n"/>
      <c r="J5" s="10" t="n"/>
      <c r="K5" s="10" t="n"/>
      <c r="L5" s="10" t="n"/>
    </row>
    <row r="6">
      <c r="A6" s="23" t="n"/>
      <c r="B6" s="24" t="n"/>
      <c r="C6" s="24" t="n"/>
      <c r="D6" s="25" t="n"/>
      <c r="E6" s="26" t="n"/>
      <c r="F6" s="25" t="n"/>
      <c r="G6" s="25" t="n"/>
      <c r="H6" s="25" t="n"/>
      <c r="I6" s="25" t="n"/>
      <c r="J6" s="25" t="n"/>
      <c r="K6" s="25" t="n"/>
      <c r="L6" s="25" t="n"/>
    </row>
    <row r="7">
      <c r="A7" s="8" t="n"/>
      <c r="B7" s="9" t="n"/>
      <c r="C7" s="9" t="n"/>
      <c r="D7" s="10" t="n"/>
      <c r="E7" s="11" t="n"/>
      <c r="F7" s="10" t="n"/>
      <c r="G7" s="10" t="n"/>
      <c r="H7" s="10" t="n"/>
      <c r="I7" s="10" t="n"/>
      <c r="J7" s="10" t="n"/>
      <c r="K7" s="10" t="n"/>
      <c r="L7" s="10" t="n"/>
    </row>
    <row r="8">
      <c r="A8" s="23" t="n"/>
      <c r="B8" s="24" t="n"/>
      <c r="C8" s="24" t="n"/>
      <c r="D8" s="25" t="n"/>
      <c r="E8" s="26" t="n"/>
      <c r="F8" s="25" t="n"/>
      <c r="G8" s="25" t="n"/>
      <c r="H8" s="25" t="n"/>
      <c r="I8" s="25" t="n"/>
      <c r="J8" s="25" t="n"/>
      <c r="K8" s="25" t="n"/>
      <c r="L8" s="25" t="n"/>
    </row>
    <row r="9">
      <c r="A9" s="8" t="n"/>
      <c r="B9" s="9" t="n"/>
      <c r="C9" s="9" t="n"/>
      <c r="D9" s="10" t="n"/>
      <c r="E9" s="11" t="n"/>
      <c r="F9" s="10" t="n"/>
      <c r="G9" s="10" t="n"/>
      <c r="H9" s="10" t="n"/>
      <c r="I9" s="10" t="n"/>
      <c r="J9" s="10" t="n"/>
      <c r="K9" s="10" t="n"/>
      <c r="L9" s="10" t="n"/>
    </row>
    <row r="10">
      <c r="A10" s="23" t="n"/>
      <c r="B10" s="24" t="n"/>
      <c r="C10" s="24" t="n"/>
      <c r="D10" s="25" t="n"/>
      <c r="E10" s="26" t="n"/>
      <c r="F10" s="25" t="n"/>
      <c r="G10" s="25" t="n"/>
      <c r="H10" s="25" t="n"/>
      <c r="I10" s="25" t="n"/>
      <c r="J10" s="25" t="n"/>
      <c r="K10" s="25" t="n"/>
      <c r="L10" s="25" t="n"/>
    </row>
    <row r="11">
      <c r="A11" s="8" t="n"/>
      <c r="B11" s="9" t="n"/>
      <c r="C11" s="9" t="n"/>
      <c r="D11" s="10" t="n"/>
      <c r="E11" s="11" t="n"/>
      <c r="F11" s="10" t="n"/>
      <c r="G11" s="10" t="n"/>
      <c r="H11" s="10" t="n"/>
      <c r="I11" s="10" t="n"/>
      <c r="J11" s="10" t="n"/>
      <c r="K11" s="10" t="n"/>
      <c r="L11" s="10" t="n"/>
    </row>
    <row r="12">
      <c r="A12" s="23" t="n"/>
      <c r="B12" s="24" t="n"/>
      <c r="C12" s="24" t="n"/>
      <c r="D12" s="25" t="n"/>
      <c r="E12" s="26" t="n"/>
      <c r="F12" s="25" t="n"/>
      <c r="G12" s="25" t="n"/>
      <c r="H12" s="25" t="n"/>
      <c r="I12" s="25" t="n"/>
      <c r="J12" s="25" t="n"/>
      <c r="K12" s="25" t="n"/>
      <c r="L12" s="25" t="n"/>
    </row>
    <row r="13">
      <c r="A13" s="8" t="n"/>
      <c r="B13" s="9" t="n"/>
      <c r="C13" s="9" t="n"/>
      <c r="D13" s="10" t="n"/>
      <c r="E13" s="11" t="n"/>
      <c r="F13" s="10" t="n"/>
      <c r="G13" s="10" t="n"/>
      <c r="H13" s="10" t="n"/>
      <c r="I13" s="10" t="n"/>
      <c r="J13" s="10" t="n"/>
      <c r="K13" s="10" t="n"/>
      <c r="L13" s="10" t="n"/>
    </row>
    <row r="14">
      <c r="A14" s="23" t="n"/>
      <c r="B14" s="24" t="n"/>
      <c r="C14" s="24" t="n"/>
      <c r="D14" s="25" t="n"/>
      <c r="E14" s="26" t="n"/>
      <c r="F14" s="25" t="n"/>
      <c r="G14" s="25" t="n"/>
      <c r="H14" s="25" t="n"/>
      <c r="I14" s="25" t="n"/>
      <c r="J14" s="25" t="n"/>
      <c r="K14" s="25" t="n"/>
      <c r="L14" s="25" t="n"/>
    </row>
    <row r="15">
      <c r="A15" s="8" t="n"/>
      <c r="B15" s="9" t="n"/>
      <c r="C15" s="9" t="n"/>
      <c r="D15" s="10" t="n"/>
      <c r="E15" s="11" t="n"/>
      <c r="F15" s="10" t="n"/>
      <c r="G15" s="10" t="n"/>
      <c r="H15" s="10" t="n"/>
      <c r="I15" s="10" t="n"/>
      <c r="J15" s="10" t="n"/>
      <c r="K15" s="10" t="n"/>
      <c r="L15" s="10" t="n"/>
    </row>
    <row r="16">
      <c r="A16" s="23" t="n"/>
      <c r="B16" s="24" t="n"/>
      <c r="C16" s="24" t="n"/>
      <c r="D16" s="25" t="n"/>
      <c r="E16" s="26" t="n"/>
      <c r="F16" s="25" t="n"/>
      <c r="G16" s="25" t="n"/>
      <c r="H16" s="25" t="n"/>
      <c r="I16" s="25" t="n"/>
      <c r="J16" s="25" t="n"/>
      <c r="K16" s="25" t="n"/>
      <c r="L16" s="25" t="n"/>
    </row>
    <row r="17">
      <c r="A17" s="8" t="n"/>
      <c r="B17" s="9" t="n"/>
      <c r="C17" s="9" t="n"/>
      <c r="D17" s="10" t="n"/>
      <c r="E17" s="11" t="n"/>
      <c r="F17" s="10" t="n"/>
      <c r="G17" s="10" t="n"/>
      <c r="H17" s="10" t="n"/>
      <c r="I17" s="10" t="n"/>
      <c r="J17" s="10" t="n"/>
      <c r="K17" s="10" t="n"/>
      <c r="L17" s="10" t="n"/>
    </row>
    <row r="18">
      <c r="A18" s="23" t="n"/>
      <c r="B18" s="24" t="n"/>
      <c r="C18" s="24" t="n"/>
      <c r="D18" s="25" t="n"/>
      <c r="E18" s="26" t="n"/>
      <c r="F18" s="25" t="n"/>
      <c r="G18" s="25" t="n"/>
      <c r="H18" s="25" t="n"/>
      <c r="I18" s="25" t="n"/>
      <c r="J18" s="25" t="n"/>
      <c r="K18" s="25" t="n"/>
      <c r="L18" s="25" t="n"/>
    </row>
    <row r="19">
      <c r="A19" s="8" t="n"/>
      <c r="B19" s="9" t="n"/>
      <c r="C19" s="9" t="n"/>
      <c r="D19" s="10" t="n"/>
      <c r="E19" s="11" t="n"/>
      <c r="F19" s="10" t="n"/>
      <c r="G19" s="10" t="n"/>
      <c r="H19" s="10" t="n"/>
      <c r="I19" s="10" t="n"/>
      <c r="J19" s="10" t="n"/>
      <c r="K19" s="10" t="n"/>
      <c r="L19" s="10" t="n"/>
    </row>
    <row r="20">
      <c r="A20" s="23" t="n"/>
      <c r="B20" s="24" t="n"/>
      <c r="C20" s="24" t="n"/>
      <c r="D20" s="25" t="n"/>
      <c r="E20" s="26" t="n"/>
      <c r="F20" s="25" t="n"/>
      <c r="G20" s="25" t="n"/>
      <c r="H20" s="25" t="n"/>
      <c r="I20" s="25" t="n"/>
      <c r="J20" s="25" t="n"/>
      <c r="K20" s="25" t="n"/>
      <c r="L20" s="25" t="n"/>
    </row>
    <row r="21">
      <c r="A21" s="8" t="n"/>
      <c r="B21" s="9" t="n"/>
      <c r="C21" s="9" t="n"/>
      <c r="D21" s="10" t="n"/>
      <c r="E21" s="11" t="n"/>
      <c r="F21" s="10" t="n"/>
      <c r="G21" s="10" t="n"/>
      <c r="H21" s="10" t="n"/>
      <c r="I21" s="10" t="n"/>
      <c r="J21" s="10" t="n"/>
      <c r="K21" s="10" t="n"/>
      <c r="L21" s="10" t="n"/>
    </row>
    <row r="22">
      <c r="A22" s="23" t="n"/>
      <c r="B22" s="24" t="n"/>
      <c r="C22" s="24" t="n"/>
      <c r="D22" s="25" t="n"/>
      <c r="E22" s="26" t="n"/>
      <c r="F22" s="25" t="n"/>
      <c r="G22" s="25" t="n"/>
      <c r="H22" s="25" t="n"/>
      <c r="I22" s="25" t="n"/>
      <c r="J22" s="25" t="n"/>
      <c r="K22" s="25" t="n"/>
      <c r="L22" s="25" t="n"/>
    </row>
    <row r="23">
      <c r="A23" s="8" t="n"/>
      <c r="B23" s="9" t="n"/>
      <c r="C23" s="9" t="n"/>
      <c r="D23" s="10" t="n"/>
      <c r="E23" s="11" t="n"/>
      <c r="F23" s="10" t="n"/>
      <c r="G23" s="10" t="n"/>
      <c r="H23" s="10" t="n"/>
      <c r="I23" s="10" t="n"/>
      <c r="J23" s="10" t="n"/>
      <c r="K23" s="10" t="n"/>
      <c r="L23" s="10" t="n"/>
    </row>
    <row r="24">
      <c r="A24" s="23" t="n"/>
      <c r="B24" s="24" t="n"/>
      <c r="C24" s="24" t="n"/>
      <c r="D24" s="25" t="n"/>
      <c r="E24" s="26" t="n"/>
      <c r="F24" s="25" t="n"/>
      <c r="G24" s="25" t="n"/>
      <c r="H24" s="25" t="n"/>
      <c r="I24" s="25" t="n"/>
      <c r="J24" s="25" t="n"/>
      <c r="K24" s="25" t="n"/>
      <c r="L24" s="25" t="n"/>
    </row>
    <row r="25">
      <c r="A25" s="8" t="n"/>
      <c r="B25" s="9" t="n"/>
      <c r="C25" s="9" t="n"/>
      <c r="D25" s="10" t="n"/>
      <c r="E25" s="11" t="n"/>
      <c r="F25" s="10" t="n"/>
      <c r="G25" s="10" t="n"/>
      <c r="H25" s="10" t="n"/>
      <c r="I25" s="10" t="n"/>
      <c r="J25" s="10" t="n"/>
      <c r="K25" s="10" t="n"/>
      <c r="L25" s="10" t="n"/>
    </row>
    <row r="26">
      <c r="A26" s="23" t="n"/>
      <c r="B26" s="24" t="n"/>
      <c r="C26" s="24" t="n"/>
      <c r="D26" s="25" t="n"/>
      <c r="E26" s="26" t="n"/>
      <c r="F26" s="25" t="n"/>
      <c r="G26" s="25" t="n"/>
      <c r="H26" s="25" t="n"/>
      <c r="I26" s="25" t="n"/>
      <c r="J26" s="25" t="n"/>
      <c r="K26" s="25" t="n"/>
      <c r="L26" s="25" t="n"/>
    </row>
    <row r="27">
      <c r="A27" s="8" t="n"/>
      <c r="B27" s="9" t="n"/>
      <c r="C27" s="9" t="n"/>
      <c r="D27" s="10" t="n"/>
      <c r="E27" s="11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23" t="n"/>
      <c r="B28" s="24" t="n"/>
      <c r="C28" s="24" t="n"/>
      <c r="D28" s="25" t="n"/>
      <c r="E28" s="26" t="n"/>
      <c r="F28" s="25" t="n"/>
      <c r="G28" s="25" t="n"/>
      <c r="H28" s="25" t="n"/>
      <c r="I28" s="25" t="n"/>
      <c r="J28" s="25" t="n"/>
      <c r="K28" s="25" t="n"/>
      <c r="L28" s="25" t="n"/>
    </row>
    <row r="29">
      <c r="A29" s="8" t="n"/>
      <c r="B29" s="9" t="n"/>
      <c r="C29" s="9" t="n"/>
      <c r="D29" s="10" t="n"/>
      <c r="E29" s="11" t="n"/>
      <c r="F29" s="10" t="n"/>
      <c r="G29" s="10" t="n"/>
      <c r="H29" s="10" t="n"/>
      <c r="I29" s="10" t="n"/>
      <c r="J29" s="10" t="n"/>
      <c r="K29" s="10" t="n"/>
      <c r="L29" s="10" t="n"/>
    </row>
    <row r="30">
      <c r="A30" s="23" t="n"/>
      <c r="B30" s="24" t="n"/>
      <c r="C30" s="24" t="n"/>
      <c r="D30" s="25" t="n"/>
      <c r="E30" s="26" t="n"/>
      <c r="F30" s="25" t="n"/>
      <c r="G30" s="25" t="n"/>
      <c r="H30" s="25" t="n"/>
      <c r="I30" s="25" t="n"/>
      <c r="J30" s="25" t="n"/>
      <c r="K30" s="25" t="n"/>
      <c r="L30" s="25" t="n"/>
    </row>
    <row r="31">
      <c r="A31" s="8" t="n"/>
      <c r="B31" s="9" t="n"/>
      <c r="C31" s="9" t="n"/>
      <c r="D31" s="10" t="n"/>
      <c r="E31" s="11" t="n"/>
      <c r="F31" s="10" t="n"/>
      <c r="G31" s="10" t="n"/>
      <c r="H31" s="10" t="n"/>
      <c r="I31" s="10" t="n"/>
      <c r="J31" s="10" t="n"/>
      <c r="K31" s="10" t="n"/>
      <c r="L31" s="10" t="n"/>
    </row>
    <row r="32">
      <c r="A32" s="23" t="n"/>
      <c r="B32" s="24" t="n"/>
      <c r="C32" s="24" t="n"/>
      <c r="D32" s="25" t="n"/>
      <c r="E32" s="26" t="n"/>
      <c r="F32" s="25" t="n"/>
      <c r="G32" s="25" t="n"/>
      <c r="H32" s="25" t="n"/>
      <c r="I32" s="25" t="n"/>
      <c r="J32" s="25" t="n"/>
      <c r="K32" s="25" t="n"/>
      <c r="L32" s="25" t="n"/>
    </row>
    <row r="33">
      <c r="A33" s="8" t="n"/>
      <c r="B33" s="9" t="n"/>
      <c r="C33" s="9" t="n"/>
      <c r="D33" s="10" t="n"/>
      <c r="E33" s="11" t="n"/>
      <c r="F33" s="10" t="n"/>
      <c r="G33" s="10" t="n"/>
      <c r="H33" s="10" t="n"/>
      <c r="I33" s="10" t="n"/>
      <c r="J33" s="10" t="n"/>
      <c r="K33" s="10" t="n"/>
      <c r="L33" s="10" t="n"/>
    </row>
    <row r="34">
      <c r="A34" s="23" t="n"/>
      <c r="B34" s="24" t="n"/>
      <c r="C34" s="24" t="n"/>
      <c r="D34" s="25" t="n"/>
      <c r="E34" s="26" t="n"/>
      <c r="F34" s="25" t="n"/>
      <c r="G34" s="25" t="n"/>
      <c r="H34" s="25" t="n"/>
      <c r="I34" s="25" t="n"/>
      <c r="J34" s="25" t="n"/>
      <c r="K34" s="25" t="n"/>
      <c r="L34" s="25" t="n"/>
    </row>
    <row r="35">
      <c r="A35" s="8" t="n"/>
      <c r="B35" s="9" t="n"/>
      <c r="C35" s="9" t="n"/>
      <c r="D35" s="10" t="n"/>
      <c r="E35" s="11" t="n"/>
      <c r="F35" s="10" t="n"/>
      <c r="G35" s="10" t="n"/>
      <c r="H35" s="10" t="n"/>
      <c r="I35" s="10" t="n"/>
      <c r="J35" s="10" t="n"/>
      <c r="K35" s="10" t="n"/>
      <c r="L35" s="10" t="n"/>
    </row>
    <row r="36">
      <c r="A36" s="23" t="n"/>
      <c r="B36" s="24" t="n"/>
      <c r="C36" s="24" t="n"/>
      <c r="D36" s="25" t="n"/>
      <c r="E36" s="26" t="n"/>
      <c r="F36" s="25" t="n"/>
      <c r="G36" s="25" t="n"/>
      <c r="H36" s="25" t="n"/>
      <c r="I36" s="25" t="n"/>
      <c r="J36" s="25" t="n"/>
      <c r="K36" s="25" t="n"/>
      <c r="L36" s="25" t="n"/>
    </row>
    <row r="37">
      <c r="A37" s="8" t="n"/>
      <c r="B37" s="9" t="n"/>
      <c r="C37" s="9" t="n"/>
      <c r="D37" s="10" t="n"/>
      <c r="E37" s="11" t="n"/>
      <c r="F37" s="10" t="n"/>
      <c r="G37" s="10" t="n"/>
      <c r="H37" s="10" t="n"/>
      <c r="I37" s="10" t="n"/>
      <c r="J37" s="10" t="n"/>
      <c r="K37" s="10" t="n"/>
      <c r="L37" s="10" t="n"/>
    </row>
    <row r="38">
      <c r="A38" s="23" t="n"/>
      <c r="B38" s="24" t="n"/>
      <c r="C38" s="24" t="n"/>
      <c r="D38" s="25" t="n"/>
      <c r="E38" s="26" t="n"/>
      <c r="F38" s="25" t="n"/>
      <c r="G38" s="25" t="n"/>
      <c r="H38" s="25" t="n"/>
      <c r="I38" s="25" t="n"/>
      <c r="J38" s="25" t="n"/>
      <c r="K38" s="25" t="n"/>
      <c r="L38" s="25" t="n"/>
    </row>
    <row r="39">
      <c r="A39" s="8" t="n"/>
      <c r="B39" s="9" t="n"/>
      <c r="C39" s="9" t="n"/>
      <c r="D39" s="10" t="n"/>
      <c r="E39" s="11" t="n"/>
      <c r="F39" s="10" t="n"/>
      <c r="G39" s="10" t="n"/>
      <c r="H39" s="10" t="n"/>
      <c r="I39" s="10" t="n"/>
      <c r="J39" s="10" t="n"/>
      <c r="K39" s="10" t="n"/>
      <c r="L39" s="10" t="n"/>
    </row>
    <row r="40">
      <c r="A40" s="23" t="n"/>
      <c r="B40" s="24" t="n"/>
      <c r="C40" s="24" t="n"/>
      <c r="D40" s="25" t="n"/>
      <c r="E40" s="26" t="n"/>
      <c r="F40" s="25" t="n"/>
      <c r="G40" s="25" t="n"/>
      <c r="H40" s="25" t="n"/>
      <c r="I40" s="25" t="n"/>
      <c r="J40" s="25" t="n"/>
      <c r="K40" s="25" t="n"/>
      <c r="L40" s="25" t="n"/>
    </row>
    <row r="41">
      <c r="A41" s="8" t="n"/>
      <c r="B41" s="9" t="n"/>
      <c r="C41" s="9" t="n"/>
      <c r="D41" s="10" t="n"/>
      <c r="E41" s="11" t="n"/>
      <c r="F41" s="10" t="n"/>
      <c r="G41" s="10" t="n"/>
      <c r="H41" s="10" t="n"/>
      <c r="I41" s="10" t="n"/>
      <c r="J41" s="10" t="n"/>
      <c r="K41" s="10" t="n"/>
      <c r="L41" s="10" t="n"/>
    </row>
    <row r="42">
      <c r="A42" s="23" t="n"/>
      <c r="B42" s="24" t="n"/>
      <c r="C42" s="24" t="n"/>
      <c r="D42" s="25" t="n"/>
      <c r="E42" s="26" t="n"/>
      <c r="F42" s="25" t="n"/>
      <c r="G42" s="25" t="n"/>
      <c r="H42" s="25" t="n"/>
      <c r="I42" s="25" t="n"/>
      <c r="J42" s="25" t="n"/>
      <c r="K42" s="25" t="n"/>
      <c r="L42" s="25" t="n"/>
    </row>
    <row r="43">
      <c r="A43" s="8" t="n"/>
      <c r="B43" s="9" t="n"/>
      <c r="C43" s="9" t="n"/>
      <c r="D43" s="10" t="n"/>
      <c r="E43" s="11" t="n"/>
      <c r="F43" s="10" t="n"/>
      <c r="G43" s="10" t="n"/>
      <c r="H43" s="10" t="n"/>
      <c r="I43" s="10" t="n"/>
      <c r="J43" s="10" t="n"/>
      <c r="K43" s="10" t="n"/>
      <c r="L43" s="10" t="n"/>
    </row>
    <row r="44">
      <c r="A44" s="23" t="n"/>
      <c r="B44" s="24" t="n"/>
      <c r="C44" s="24" t="n"/>
      <c r="D44" s="25" t="n"/>
      <c r="E44" s="26" t="n"/>
      <c r="F44" s="25" t="n"/>
      <c r="G44" s="25" t="n"/>
      <c r="H44" s="25" t="n"/>
      <c r="I44" s="25" t="n"/>
      <c r="J44" s="25" t="n"/>
      <c r="K44" s="25" t="n"/>
      <c r="L44" s="25" t="n"/>
    </row>
    <row r="45">
      <c r="A45" s="8" t="n"/>
      <c r="B45" s="9" t="n"/>
      <c r="C45" s="9" t="n"/>
      <c r="D45" s="10" t="n"/>
      <c r="E45" s="11" t="n"/>
      <c r="F45" s="10" t="n"/>
      <c r="G45" s="10" t="n"/>
      <c r="H45" s="10" t="n"/>
      <c r="I45" s="10" t="n"/>
      <c r="J45" s="10" t="n"/>
      <c r="K45" s="10" t="n"/>
      <c r="L45" s="10" t="n"/>
    </row>
    <row r="46">
      <c r="A46" s="23" t="n"/>
      <c r="B46" s="24" t="n"/>
      <c r="C46" s="24" t="n"/>
      <c r="D46" s="25" t="n"/>
      <c r="E46" s="26" t="n"/>
      <c r="F46" s="25" t="n"/>
      <c r="G46" s="25" t="n"/>
      <c r="H46" s="25" t="n"/>
      <c r="I46" s="25" t="n"/>
      <c r="J46" s="25" t="n"/>
      <c r="K46" s="25" t="n"/>
      <c r="L46" s="25" t="n"/>
    </row>
    <row r="47">
      <c r="A47" s="8" t="n"/>
      <c r="B47" s="9" t="n"/>
      <c r="C47" s="9" t="n"/>
      <c r="D47" s="10" t="n"/>
      <c r="E47" s="11" t="n"/>
      <c r="F47" s="10" t="n"/>
      <c r="G47" s="10" t="n"/>
      <c r="H47" s="10" t="n"/>
      <c r="I47" s="10" t="n"/>
      <c r="J47" s="10" t="n"/>
      <c r="K47" s="10" t="n"/>
      <c r="L47" s="10" t="n"/>
    </row>
    <row r="48">
      <c r="A48" s="23" t="n"/>
      <c r="B48" s="24" t="n"/>
      <c r="C48" s="24" t="n"/>
      <c r="D48" s="25" t="n"/>
      <c r="E48" s="26" t="n"/>
      <c r="F48" s="25" t="n"/>
      <c r="G48" s="25" t="n"/>
      <c r="H48" s="25" t="n"/>
      <c r="I48" s="25" t="n"/>
      <c r="J48" s="25" t="n"/>
      <c r="K48" s="25" t="n"/>
      <c r="L48" s="25" t="n"/>
    </row>
    <row r="49">
      <c r="A49" s="8" t="n"/>
      <c r="B49" s="9" t="n"/>
      <c r="C49" s="9" t="n"/>
      <c r="D49" s="10" t="n"/>
      <c r="E49" s="11" t="n"/>
      <c r="F49" s="10" t="n"/>
      <c r="G49" s="10" t="n"/>
      <c r="H49" s="10" t="n"/>
      <c r="I49" s="10" t="n"/>
      <c r="J49" s="10" t="n"/>
      <c r="K49" s="10" t="n"/>
      <c r="L49" s="10" t="n"/>
    </row>
    <row r="50">
      <c r="A50" s="23" t="n"/>
      <c r="B50" s="24" t="n"/>
      <c r="C50" s="24" t="n"/>
      <c r="D50" s="25" t="n"/>
      <c r="E50" s="26" t="n"/>
      <c r="F50" s="25" t="n"/>
      <c r="G50" s="25" t="n"/>
      <c r="H50" s="25" t="n"/>
      <c r="I50" s="25" t="n"/>
      <c r="J50" s="25" t="n"/>
      <c r="K50" s="25" t="n"/>
      <c r="L50" s="25" t="n"/>
    </row>
    <row r="51">
      <c r="A51" s="8" t="n"/>
      <c r="B51" s="9" t="n"/>
      <c r="C51" s="9" t="n"/>
      <c r="D51" s="10" t="n"/>
      <c r="E51" s="11" t="n"/>
      <c r="F51" s="10" t="n"/>
      <c r="G51" s="10" t="n"/>
      <c r="H51" s="10" t="n"/>
      <c r="I51" s="10" t="n"/>
      <c r="J51" s="10" t="n"/>
      <c r="K51" s="10" t="n"/>
      <c r="L51" s="10" t="n"/>
    </row>
    <row r="52">
      <c r="A52" s="23" t="n"/>
      <c r="B52" s="24" t="n"/>
      <c r="C52" s="24" t="n"/>
      <c r="D52" s="25" t="n"/>
      <c r="E52" s="26" t="n"/>
      <c r="F52" s="25" t="n"/>
      <c r="G52" s="25" t="n"/>
      <c r="H52" s="25" t="n"/>
      <c r="I52" s="25" t="n"/>
      <c r="J52" s="25" t="n"/>
      <c r="K52" s="25" t="n"/>
      <c r="L52" s="25" t="n"/>
    </row>
    <row r="53">
      <c r="A53" s="8" t="n"/>
      <c r="B53" s="9" t="n"/>
      <c r="C53" s="9" t="n"/>
      <c r="D53" s="10" t="n"/>
      <c r="E53" s="11" t="n"/>
      <c r="F53" s="10" t="n"/>
      <c r="G53" s="10" t="n"/>
      <c r="H53" s="10" t="n"/>
      <c r="I53" s="10" t="n"/>
      <c r="J53" s="10" t="n"/>
      <c r="K53" s="10" t="n"/>
      <c r="L53" s="10" t="n"/>
    </row>
    <row r="54">
      <c r="A54" s="23" t="n"/>
      <c r="B54" s="24" t="n"/>
      <c r="C54" s="24" t="n"/>
      <c r="D54" s="25" t="n"/>
      <c r="E54" s="26" t="n"/>
      <c r="F54" s="25" t="n"/>
      <c r="G54" s="25" t="n"/>
      <c r="H54" s="25" t="n"/>
      <c r="I54" s="25" t="n"/>
      <c r="J54" s="25" t="n"/>
      <c r="K54" s="25" t="n"/>
      <c r="L54" s="25" t="n"/>
    </row>
    <row r="55">
      <c r="A55" s="8" t="n"/>
      <c r="B55" s="9" t="n"/>
      <c r="C55" s="9" t="n"/>
      <c r="D55" s="10" t="n"/>
      <c r="E55" s="11" t="n"/>
      <c r="F55" s="10" t="n"/>
      <c r="G55" s="10" t="n"/>
      <c r="H55" s="10" t="n"/>
      <c r="I55" s="10" t="n"/>
      <c r="J55" s="10" t="n"/>
      <c r="K55" s="10" t="n"/>
      <c r="L55" s="10" t="n"/>
    </row>
    <row r="56">
      <c r="A56" s="23" t="n"/>
      <c r="B56" s="24" t="n"/>
      <c r="C56" s="24" t="n"/>
      <c r="D56" s="25" t="n"/>
      <c r="E56" s="26" t="n"/>
      <c r="F56" s="25" t="n"/>
      <c r="G56" s="25" t="n"/>
      <c r="H56" s="25" t="n"/>
      <c r="I56" s="25" t="n"/>
      <c r="J56" s="25" t="n"/>
      <c r="K56" s="25" t="n"/>
      <c r="L56" s="25" t="n"/>
    </row>
    <row r="57">
      <c r="A57" s="8" t="n"/>
      <c r="B57" s="9" t="n"/>
      <c r="C57" s="9" t="n"/>
      <c r="D57" s="10" t="n"/>
      <c r="E57" s="11" t="n"/>
      <c r="F57" s="10" t="n"/>
      <c r="G57" s="10" t="n"/>
      <c r="H57" s="10" t="n"/>
      <c r="I57" s="10" t="n"/>
      <c r="J57" s="10" t="n"/>
      <c r="K57" s="10" t="n"/>
      <c r="L57" s="10" t="n"/>
    </row>
    <row r="58">
      <c r="A58" s="23" t="n"/>
      <c r="B58" s="24" t="n"/>
      <c r="C58" s="24" t="n"/>
      <c r="D58" s="25" t="n"/>
      <c r="E58" s="26" t="n"/>
      <c r="F58" s="25" t="n"/>
      <c r="G58" s="25" t="n"/>
      <c r="H58" s="25" t="n"/>
      <c r="I58" s="25" t="n"/>
      <c r="J58" s="25" t="n"/>
      <c r="K58" s="25" t="n"/>
      <c r="L58" s="25" t="n"/>
    </row>
    <row r="59">
      <c r="A59" s="8" t="n"/>
      <c r="B59" s="9" t="n"/>
      <c r="C59" s="9" t="n"/>
      <c r="D59" s="10" t="n"/>
      <c r="E59" s="11" t="n"/>
      <c r="F59" s="10" t="n"/>
      <c r="G59" s="10" t="n"/>
      <c r="H59" s="10" t="n"/>
      <c r="I59" s="10" t="n"/>
      <c r="J59" s="10" t="n"/>
      <c r="K59" s="10" t="n"/>
      <c r="L59" s="10" t="n"/>
    </row>
    <row r="60">
      <c r="A60" s="23" t="n"/>
      <c r="B60" s="24" t="n"/>
      <c r="C60" s="24" t="n"/>
      <c r="D60" s="25" t="n"/>
      <c r="E60" s="26" t="n"/>
      <c r="F60" s="25" t="n"/>
      <c r="G60" s="25" t="n"/>
      <c r="H60" s="25" t="n"/>
      <c r="I60" s="25" t="n"/>
      <c r="J60" s="25" t="n"/>
      <c r="K60" s="25" t="n"/>
      <c r="L60" s="25" t="n"/>
    </row>
    <row r="61">
      <c r="A61" s="8" t="n"/>
      <c r="B61" s="9" t="n"/>
      <c r="C61" s="9" t="n"/>
      <c r="D61" s="10" t="n"/>
      <c r="E61" s="11" t="n"/>
      <c r="F61" s="10" t="n"/>
      <c r="G61" s="10" t="n"/>
      <c r="H61" s="10" t="n"/>
      <c r="I61" s="10" t="n"/>
      <c r="J61" s="10" t="n"/>
      <c r="K61" s="10" t="n"/>
      <c r="L61" s="10" t="n"/>
    </row>
    <row r="62">
      <c r="A62" s="23" t="n"/>
      <c r="B62" s="24" t="n"/>
      <c r="C62" s="24" t="n"/>
      <c r="D62" s="25" t="n"/>
      <c r="E62" s="26" t="n"/>
      <c r="F62" s="25" t="n"/>
      <c r="G62" s="25" t="n"/>
      <c r="H62" s="25" t="n"/>
      <c r="I62" s="25" t="n"/>
      <c r="J62" s="25" t="n"/>
      <c r="K62" s="25" t="n"/>
      <c r="L62" s="25" t="n"/>
    </row>
    <row r="63">
      <c r="A63" s="8" t="n"/>
      <c r="B63" s="9" t="n"/>
      <c r="C63" s="9" t="n"/>
      <c r="D63" s="10" t="n"/>
      <c r="E63" s="11" t="n"/>
      <c r="F63" s="10" t="n"/>
      <c r="G63" s="10" t="n"/>
      <c r="H63" s="10" t="n"/>
      <c r="I63" s="10" t="n"/>
      <c r="J63" s="10" t="n"/>
      <c r="K63" s="10" t="n"/>
      <c r="L63" s="10" t="n"/>
    </row>
    <row r="64">
      <c r="A64" s="23" t="n"/>
      <c r="B64" s="24" t="n"/>
      <c r="C64" s="24" t="n"/>
      <c r="D64" s="25" t="n"/>
      <c r="E64" s="26" t="n"/>
      <c r="F64" s="25" t="n"/>
      <c r="G64" s="25" t="n"/>
      <c r="H64" s="25" t="n"/>
      <c r="I64" s="25" t="n"/>
      <c r="J64" s="25" t="n"/>
      <c r="K64" s="25" t="n"/>
      <c r="L64" s="25" t="n"/>
    </row>
    <row r="65">
      <c r="A65" s="8" t="n"/>
      <c r="B65" s="9" t="n"/>
      <c r="C65" s="9" t="n"/>
      <c r="D65" s="10" t="n"/>
      <c r="E65" s="11" t="n"/>
      <c r="F65" s="10" t="n"/>
      <c r="G65" s="10" t="n"/>
      <c r="H65" s="10" t="n"/>
      <c r="I65" s="10" t="n"/>
      <c r="J65" s="10" t="n"/>
      <c r="K65" s="10" t="n"/>
      <c r="L65" s="10" t="n"/>
    </row>
    <row r="66">
      <c r="A66" s="23" t="n"/>
      <c r="B66" s="24" t="n"/>
      <c r="C66" s="24" t="n"/>
      <c r="D66" s="25" t="n"/>
      <c r="E66" s="26" t="n"/>
      <c r="F66" s="25" t="n"/>
      <c r="G66" s="25" t="n"/>
      <c r="H66" s="25" t="n"/>
      <c r="I66" s="25" t="n"/>
      <c r="J66" s="25" t="n"/>
      <c r="K66" s="25" t="n"/>
      <c r="L66" s="25" t="n"/>
    </row>
    <row r="67">
      <c r="A67" s="8" t="n"/>
      <c r="B67" s="9" t="n"/>
      <c r="C67" s="9" t="n"/>
      <c r="D67" s="10" t="n"/>
      <c r="E67" s="11" t="n"/>
      <c r="F67" s="10" t="n"/>
      <c r="G67" s="10" t="n"/>
      <c r="H67" s="10" t="n"/>
      <c r="I67" s="10" t="n"/>
      <c r="J67" s="10" t="n"/>
      <c r="K67" s="10" t="n"/>
      <c r="L67" s="10" t="n"/>
    </row>
    <row r="68">
      <c r="A68" s="23" t="n"/>
      <c r="B68" s="24" t="n"/>
      <c r="C68" s="24" t="n"/>
      <c r="D68" s="25" t="n"/>
      <c r="E68" s="26" t="n"/>
      <c r="F68" s="25" t="n"/>
      <c r="G68" s="25" t="n"/>
      <c r="H68" s="25" t="n"/>
      <c r="I68" s="25" t="n"/>
      <c r="J68" s="25" t="n"/>
      <c r="K68" s="25" t="n"/>
      <c r="L68" s="25" t="n"/>
    </row>
    <row r="69">
      <c r="A69" s="8" t="n"/>
      <c r="B69" s="9" t="n"/>
      <c r="C69" s="9" t="n"/>
      <c r="D69" s="10" t="n"/>
      <c r="E69" s="11" t="n"/>
      <c r="F69" s="10" t="n"/>
      <c r="G69" s="10" t="n"/>
      <c r="H69" s="10" t="n"/>
      <c r="I69" s="10" t="n"/>
      <c r="J69" s="10" t="n"/>
      <c r="K69" s="10" t="n"/>
      <c r="L69" s="10" t="n"/>
    </row>
    <row r="70">
      <c r="A70" s="23" t="n"/>
      <c r="B70" s="24" t="n"/>
      <c r="C70" s="24" t="n"/>
      <c r="D70" s="25" t="n"/>
      <c r="E70" s="26" t="n"/>
      <c r="F70" s="25" t="n"/>
      <c r="G70" s="25" t="n"/>
      <c r="H70" s="25" t="n"/>
      <c r="I70" s="25" t="n"/>
      <c r="J70" s="25" t="n"/>
      <c r="K70" s="25" t="n"/>
      <c r="L70" s="25" t="n"/>
    </row>
    <row r="71">
      <c r="A71" s="8" t="n"/>
      <c r="B71" s="9" t="n"/>
      <c r="C71" s="9" t="n"/>
      <c r="D71" s="10" t="n"/>
      <c r="E71" s="11" t="n"/>
      <c r="F71" s="10" t="n"/>
      <c r="G71" s="10" t="n"/>
      <c r="H71" s="10" t="n"/>
      <c r="I71" s="10" t="n"/>
      <c r="J71" s="10" t="n"/>
      <c r="K71" s="10" t="n"/>
      <c r="L71" s="10" t="n"/>
    </row>
    <row r="72">
      <c r="A72" s="23" t="n"/>
      <c r="B72" s="24" t="n"/>
      <c r="C72" s="24" t="n"/>
      <c r="D72" s="25" t="n"/>
      <c r="E72" s="26" t="n"/>
      <c r="F72" s="25" t="n"/>
      <c r="G72" s="25" t="n"/>
      <c r="H72" s="25" t="n"/>
      <c r="I72" s="25" t="n"/>
      <c r="J72" s="25" t="n"/>
      <c r="K72" s="25" t="n"/>
      <c r="L72" s="25" t="n"/>
    </row>
    <row r="73">
      <c r="A73" s="8" t="n"/>
      <c r="B73" s="9" t="n"/>
      <c r="C73" s="9" t="n"/>
      <c r="D73" s="10" t="n"/>
      <c r="E73" s="11" t="n"/>
      <c r="F73" s="10" t="n"/>
      <c r="G73" s="10" t="n"/>
      <c r="H73" s="10" t="n"/>
      <c r="I73" s="10" t="n"/>
      <c r="J73" s="10" t="n"/>
      <c r="K73" s="10" t="n"/>
      <c r="L73" s="10" t="n"/>
    </row>
    <row r="74">
      <c r="A74" s="23" t="n"/>
      <c r="B74" s="24" t="n"/>
      <c r="C74" s="24" t="n"/>
      <c r="D74" s="25" t="n"/>
      <c r="E74" s="26" t="n"/>
      <c r="F74" s="25" t="n"/>
      <c r="G74" s="25" t="n"/>
      <c r="H74" s="25" t="n"/>
      <c r="I74" s="25" t="n"/>
      <c r="J74" s="25" t="n"/>
      <c r="K74" s="25" t="n"/>
      <c r="L74" s="25" t="n"/>
    </row>
    <row r="75">
      <c r="A75" s="8" t="n"/>
      <c r="B75" s="9" t="n"/>
      <c r="C75" s="9" t="n"/>
      <c r="D75" s="10" t="n"/>
      <c r="E75" s="11" t="n"/>
      <c r="F75" s="10" t="n"/>
      <c r="G75" s="10" t="n"/>
      <c r="H75" s="10" t="n"/>
      <c r="I75" s="10" t="n"/>
      <c r="J75" s="10" t="n"/>
      <c r="K75" s="10" t="n"/>
      <c r="L75" s="10" t="n"/>
    </row>
    <row r="76">
      <c r="A76" s="23" t="n"/>
      <c r="B76" s="24" t="n"/>
      <c r="C76" s="24" t="n"/>
      <c r="D76" s="25" t="n"/>
      <c r="E76" s="26" t="n"/>
      <c r="F76" s="25" t="n"/>
      <c r="G76" s="25" t="n"/>
      <c r="H76" s="25" t="n"/>
      <c r="I76" s="25" t="n"/>
      <c r="J76" s="25" t="n"/>
      <c r="K76" s="25" t="n"/>
      <c r="L76" s="25" t="n"/>
    </row>
    <row r="77">
      <c r="A77" s="8" t="n"/>
      <c r="B77" s="9" t="n"/>
      <c r="C77" s="9" t="n"/>
      <c r="D77" s="10" t="n"/>
      <c r="E77" s="11" t="n"/>
      <c r="F77" s="10" t="n"/>
      <c r="G77" s="10" t="n"/>
      <c r="H77" s="10" t="n"/>
      <c r="I77" s="10" t="n"/>
      <c r="J77" s="10" t="n"/>
      <c r="K77" s="10" t="n"/>
      <c r="L77" s="10" t="n"/>
    </row>
    <row r="78">
      <c r="A78" s="23" t="n"/>
      <c r="B78" s="24" t="n"/>
      <c r="C78" s="24" t="n"/>
      <c r="D78" s="25" t="n"/>
      <c r="E78" s="26" t="n"/>
      <c r="F78" s="25" t="n"/>
      <c r="G78" s="25" t="n"/>
      <c r="H78" s="25" t="n"/>
      <c r="I78" s="25" t="n"/>
      <c r="J78" s="25" t="n"/>
      <c r="K78" s="25" t="n"/>
      <c r="L78" s="25" t="n"/>
    </row>
    <row r="79">
      <c r="A79" s="8" t="n"/>
      <c r="B79" s="9" t="n"/>
      <c r="C79" s="9" t="n"/>
      <c r="D79" s="10" t="n"/>
      <c r="E79" s="11" t="n"/>
      <c r="F79" s="10" t="n"/>
      <c r="G79" s="10" t="n"/>
      <c r="H79" s="10" t="n"/>
      <c r="I79" s="10" t="n"/>
      <c r="J79" s="10" t="n"/>
      <c r="K79" s="10" t="n"/>
      <c r="L79" s="10" t="n"/>
    </row>
    <row r="80">
      <c r="A80" s="23" t="n"/>
      <c r="B80" s="24" t="n"/>
      <c r="C80" s="24" t="n"/>
      <c r="D80" s="25" t="n"/>
      <c r="E80" s="26" t="n"/>
      <c r="F80" s="25" t="n"/>
      <c r="G80" s="25" t="n"/>
      <c r="H80" s="25" t="n"/>
      <c r="I80" s="25" t="n"/>
      <c r="J80" s="25" t="n"/>
      <c r="K80" s="25" t="n"/>
      <c r="L80" s="25" t="n"/>
    </row>
    <row r="81">
      <c r="A81" s="8" t="n"/>
      <c r="B81" s="9" t="n"/>
      <c r="C81" s="9" t="n"/>
      <c r="D81" s="10" t="n"/>
      <c r="E81" s="11" t="n"/>
      <c r="F81" s="10" t="n"/>
      <c r="G81" s="10" t="n"/>
      <c r="H81" s="10" t="n"/>
      <c r="I81" s="10" t="n"/>
      <c r="J81" s="10" t="n"/>
      <c r="K81" s="10" t="n"/>
      <c r="L81" s="10" t="n"/>
    </row>
    <row r="82">
      <c r="A82" s="23" t="n"/>
      <c r="B82" s="24" t="n"/>
      <c r="C82" s="24" t="n"/>
      <c r="D82" s="25" t="n"/>
      <c r="E82" s="26" t="n"/>
      <c r="F82" s="25" t="n"/>
      <c r="G82" s="25" t="n"/>
      <c r="H82" s="25" t="n"/>
      <c r="I82" s="25" t="n"/>
      <c r="J82" s="25" t="n"/>
      <c r="K82" s="25" t="n"/>
      <c r="L82" s="25" t="n"/>
    </row>
    <row r="83">
      <c r="A83" s="8" t="n"/>
      <c r="B83" s="9" t="n"/>
      <c r="C83" s="9" t="n"/>
      <c r="D83" s="10" t="n"/>
      <c r="E83" s="11" t="n"/>
      <c r="F83" s="10" t="n"/>
      <c r="G83" s="10" t="n"/>
      <c r="H83" s="10" t="n"/>
      <c r="I83" s="10" t="n"/>
      <c r="J83" s="10" t="n"/>
      <c r="K83" s="10" t="n"/>
      <c r="L83" s="10" t="n"/>
    </row>
    <row r="84">
      <c r="A84" s="23" t="n"/>
      <c r="B84" s="24" t="n"/>
      <c r="C84" s="24" t="n"/>
      <c r="D84" s="25" t="n"/>
      <c r="E84" s="26" t="n"/>
      <c r="F84" s="25" t="n"/>
      <c r="G84" s="25" t="n"/>
      <c r="H84" s="25" t="n"/>
      <c r="I84" s="25" t="n"/>
      <c r="J84" s="25" t="n"/>
      <c r="K84" s="25" t="n"/>
      <c r="L84" s="25" t="n"/>
    </row>
    <row r="85">
      <c r="A85" s="8" t="n"/>
      <c r="B85" s="9" t="n"/>
      <c r="C85" s="9" t="n"/>
      <c r="D85" s="10" t="n"/>
      <c r="E85" s="11" t="n"/>
      <c r="F85" s="10" t="n"/>
      <c r="G85" s="10" t="n"/>
      <c r="H85" s="10" t="n"/>
      <c r="I85" s="10" t="n"/>
      <c r="J85" s="10" t="n"/>
      <c r="K85" s="10" t="n"/>
      <c r="L85" s="10" t="n"/>
    </row>
    <row r="86">
      <c r="A86" s="23" t="n"/>
      <c r="B86" s="24" t="n"/>
      <c r="C86" s="24" t="n"/>
      <c r="D86" s="25" t="n"/>
      <c r="E86" s="26" t="n"/>
      <c r="F86" s="25" t="n"/>
      <c r="G86" s="25" t="n"/>
      <c r="H86" s="25" t="n"/>
      <c r="I86" s="25" t="n"/>
      <c r="J86" s="25" t="n"/>
      <c r="K86" s="25" t="n"/>
      <c r="L86" s="25" t="n"/>
    </row>
    <row r="87">
      <c r="A87" s="8" t="n"/>
      <c r="B87" s="9" t="n"/>
      <c r="C87" s="9" t="n"/>
      <c r="D87" s="10" t="n"/>
      <c r="E87" s="11" t="n"/>
      <c r="F87" s="10" t="n"/>
      <c r="G87" s="10" t="n"/>
      <c r="H87" s="10" t="n"/>
      <c r="I87" s="10" t="n"/>
      <c r="J87" s="10" t="n"/>
      <c r="K87" s="10" t="n"/>
      <c r="L87" s="10" t="n"/>
    </row>
    <row r="88">
      <c r="A88" s="23" t="n"/>
      <c r="B88" s="24" t="n"/>
      <c r="C88" s="24" t="n"/>
      <c r="D88" s="25" t="n"/>
      <c r="E88" s="26" t="n"/>
      <c r="F88" s="25" t="n"/>
      <c r="G88" s="25" t="n"/>
      <c r="H88" s="25" t="n"/>
      <c r="I88" s="25" t="n"/>
      <c r="J88" s="25" t="n"/>
      <c r="K88" s="25" t="n"/>
      <c r="L88" s="25" t="n"/>
    </row>
    <row r="89">
      <c r="A89" s="8" t="n"/>
      <c r="B89" s="9" t="n"/>
      <c r="C89" s="9" t="n"/>
      <c r="D89" s="10" t="n"/>
      <c r="E89" s="11" t="n"/>
      <c r="F89" s="10" t="n"/>
      <c r="G89" s="10" t="n"/>
      <c r="H89" s="10" t="n"/>
      <c r="I89" s="10" t="n"/>
      <c r="J89" s="10" t="n"/>
      <c r="K89" s="10" t="n"/>
      <c r="L89" s="10" t="n"/>
    </row>
    <row r="90">
      <c r="A90" s="23" t="n"/>
      <c r="B90" s="24" t="n"/>
      <c r="C90" s="24" t="n"/>
      <c r="D90" s="25" t="n"/>
      <c r="E90" s="26" t="n"/>
      <c r="F90" s="25" t="n"/>
      <c r="G90" s="25" t="n"/>
      <c r="H90" s="25" t="n"/>
      <c r="I90" s="25" t="n"/>
      <c r="J90" s="25" t="n"/>
      <c r="K90" s="25" t="n"/>
      <c r="L90" s="25" t="n"/>
    </row>
    <row r="91">
      <c r="A91" s="8" t="n"/>
      <c r="B91" s="9" t="n"/>
      <c r="C91" s="9" t="n"/>
      <c r="D91" s="10" t="n"/>
      <c r="E91" s="11" t="n"/>
      <c r="F91" s="10" t="n"/>
      <c r="G91" s="10" t="n"/>
      <c r="H91" s="10" t="n"/>
      <c r="I91" s="10" t="n"/>
      <c r="J91" s="10" t="n"/>
      <c r="K91" s="10" t="n"/>
      <c r="L91" s="10" t="n"/>
    </row>
    <row r="92">
      <c r="A92" s="23" t="n"/>
      <c r="B92" s="24" t="n"/>
      <c r="C92" s="24" t="n"/>
      <c r="D92" s="25" t="n"/>
      <c r="E92" s="26" t="n"/>
      <c r="F92" s="25" t="n"/>
      <c r="G92" s="25" t="n"/>
      <c r="H92" s="25" t="n"/>
      <c r="I92" s="25" t="n"/>
      <c r="J92" s="25" t="n"/>
      <c r="K92" s="25" t="n"/>
      <c r="L92" s="25" t="n"/>
    </row>
    <row r="93">
      <c r="A93" s="8" t="n"/>
      <c r="B93" s="9" t="n"/>
      <c r="C93" s="9" t="n"/>
      <c r="D93" s="10" t="n"/>
      <c r="E93" s="11" t="n"/>
      <c r="F93" s="10" t="n"/>
      <c r="G93" s="10" t="n"/>
      <c r="H93" s="10" t="n"/>
      <c r="I93" s="10" t="n"/>
      <c r="J93" s="10" t="n"/>
      <c r="K93" s="10" t="n"/>
      <c r="L93" s="10" t="n"/>
    </row>
    <row r="94">
      <c r="A94" s="23" t="n"/>
      <c r="B94" s="24" t="n"/>
      <c r="C94" s="24" t="n"/>
      <c r="D94" s="25" t="n"/>
      <c r="E94" s="26" t="n"/>
      <c r="F94" s="25" t="n"/>
      <c r="G94" s="25" t="n"/>
      <c r="H94" s="25" t="n"/>
      <c r="I94" s="25" t="n"/>
      <c r="J94" s="25" t="n"/>
      <c r="K94" s="25" t="n"/>
      <c r="L94" s="25" t="n"/>
    </row>
    <row r="95">
      <c r="A95" s="8" t="n"/>
      <c r="B95" s="9" t="n"/>
      <c r="C95" s="9" t="n"/>
      <c r="D95" s="10" t="n"/>
      <c r="E95" s="11" t="n"/>
      <c r="F95" s="10" t="n"/>
      <c r="G95" s="10" t="n"/>
      <c r="H95" s="10" t="n"/>
      <c r="I95" s="10" t="n"/>
      <c r="J95" s="10" t="n"/>
      <c r="K95" s="10" t="n"/>
      <c r="L95" s="10" t="n"/>
    </row>
    <row r="96">
      <c r="A96" s="23" t="n"/>
      <c r="B96" s="24" t="n"/>
      <c r="C96" s="24" t="n"/>
      <c r="D96" s="25" t="n"/>
      <c r="E96" s="26" t="n"/>
      <c r="F96" s="25" t="n"/>
      <c r="G96" s="25" t="n"/>
      <c r="H96" s="25" t="n"/>
      <c r="I96" s="25" t="n"/>
      <c r="J96" s="25" t="n"/>
      <c r="K96" s="25" t="n"/>
      <c r="L96" s="25" t="n"/>
    </row>
    <row r="97">
      <c r="A97" s="8" t="n"/>
      <c r="B97" s="9" t="n"/>
      <c r="C97" s="9" t="n"/>
      <c r="D97" s="10" t="n"/>
      <c r="E97" s="11" t="n"/>
      <c r="F97" s="10" t="n"/>
      <c r="G97" s="10" t="n"/>
      <c r="H97" s="10" t="n"/>
      <c r="I97" s="10" t="n"/>
      <c r="J97" s="10" t="n"/>
      <c r="K97" s="10" t="n"/>
      <c r="L97" s="10" t="n"/>
    </row>
    <row r="98">
      <c r="A98" s="23" t="n"/>
      <c r="B98" s="24" t="n"/>
      <c r="C98" s="24" t="n"/>
      <c r="D98" s="25" t="n"/>
      <c r="E98" s="26" t="n"/>
      <c r="F98" s="25" t="n"/>
      <c r="G98" s="25" t="n"/>
      <c r="H98" s="25" t="n"/>
      <c r="I98" s="25" t="n"/>
      <c r="J98" s="25" t="n"/>
      <c r="K98" s="25" t="n"/>
      <c r="L98" s="25" t="n"/>
    </row>
    <row r="99">
      <c r="A99" s="8" t="n"/>
      <c r="B99" s="9" t="n"/>
      <c r="C99" s="9" t="n"/>
      <c r="D99" s="10" t="n"/>
      <c r="E99" s="11" t="n"/>
      <c r="F99" s="10" t="n"/>
      <c r="G99" s="10" t="n"/>
      <c r="H99" s="10" t="n"/>
      <c r="I99" s="10" t="n"/>
      <c r="J99" s="10" t="n"/>
      <c r="K99" s="10" t="n"/>
      <c r="L99" s="10" t="n"/>
    </row>
    <row r="100">
      <c r="A100" s="23" t="n"/>
      <c r="B100" s="24" t="n"/>
      <c r="C100" s="24" t="n"/>
      <c r="D100" s="25" t="n"/>
      <c r="E100" s="26" t="n"/>
      <c r="F100" s="25" t="n"/>
      <c r="G100" s="25" t="n"/>
      <c r="H100" s="25" t="n"/>
      <c r="I100" s="25" t="n"/>
      <c r="J100" s="25" t="n"/>
      <c r="K100" s="25" t="n"/>
      <c r="L100" s="25" t="n"/>
    </row>
    <row r="101">
      <c r="A101" s="8" t="n"/>
      <c r="B101" s="9" t="n"/>
      <c r="C101" s="9" t="n"/>
      <c r="D101" s="10" t="n"/>
      <c r="E101" s="11" t="n"/>
      <c r="F101" s="10" t="n"/>
      <c r="G101" s="10" t="n"/>
      <c r="H101" s="10" t="n"/>
      <c r="I101" s="10" t="n"/>
      <c r="J101" s="10" t="n"/>
      <c r="K101" s="10" t="n"/>
      <c r="L101" s="10" t="n"/>
    </row>
    <row r="102">
      <c r="A102" s="23" t="n"/>
      <c r="B102" s="24" t="n"/>
      <c r="C102" s="24" t="n"/>
      <c r="D102" s="25" t="n"/>
      <c r="E102" s="26" t="n"/>
      <c r="F102" s="25" t="n"/>
      <c r="G102" s="25" t="n"/>
      <c r="H102" s="25" t="n"/>
      <c r="I102" s="25" t="n"/>
      <c r="J102" s="25" t="n"/>
      <c r="K102" s="25" t="n"/>
      <c r="L102" s="25" t="n"/>
    </row>
  </sheetData>
  <autoFilter ref="A2:L2"/>
  <mergeCells count="3">
    <mergeCell ref="A1:C1"/>
    <mergeCell ref="J1:K1"/>
    <mergeCell ref="D1:I1"/>
  </mergeCells>
  <conditionalFormatting sqref="K3:K102">
    <cfRule type="cellIs" priority="1" operator="equal" dxfId="9">
      <formula>"要"</formula>
    </cfRule>
    <cfRule type="cellIs" priority="2" operator="equal" dxfId="12">
      <formula>"不要"</formula>
    </cfRule>
    <cfRule type="cellIs" priority="3" operator="equal" dxfId="13">
      <formula>"済"</formula>
    </cfRule>
  </conditionalFormatting>
  <conditionalFormatting sqref="D3:D102">
    <cfRule type="cellIs" priority="4" operator="equal" dxfId="9">
      <formula>"緊急"</formula>
    </cfRule>
    <cfRule type="cellIs" priority="5" operator="equal" dxfId="14">
      <formula>"通常"</formula>
    </cfRule>
  </conditionalFormatting>
  <dataValidations count="5">
    <dataValidation sqref="C3:C102" showDropDown="0" showInputMessage="0" showErrorMessage="0" allowBlank="1" errorTitle="入力エラー" error="リストから選択してください" type="list">
      <formula1>sex</formula1>
    </dataValidation>
    <dataValidation sqref="D3:D102" showDropDown="0" showInputMessage="0" showErrorMessage="0" allowBlank="1" errorTitle="入力エラー" error="リストから選択してください" type="list">
      <formula1>urgency</formula1>
    </dataValidation>
    <dataValidation sqref="F3:F102" showDropDown="0" showInputMessage="0" showErrorMessage="0" allowBlank="1" errorTitle="入力エラー" error="リストから選択してください" type="list">
      <formula1>dept</formula1>
    </dataValidation>
    <dataValidation sqref="I3:I102" showDropDown="0" showInputMessage="0" showErrorMessage="0" allowBlank="1" errorTitle="入力エラー" error="リストから選択してください" type="list">
      <formula1>disease</formula1>
    </dataValidation>
    <dataValidation sqref="K3:K102" showDropDown="0" showInputMessage="0" showErrorMessage="0" allowBlank="1" errorTitle="入力エラー" error="リストから選択してください" type="list">
      <formula1>followup</formula1>
    </dataValidation>
  </dataValidations>
  <pageMargins left="0.4" right="0.4" top="0.5" bottom="0.5" header="0.3" footer="0.3"/>
  <pageSetup orientation="landscape" paperSize="9" fitToHeight="0" fitToWidth="1"/>
  <headerFooter>
    <oddHeader>&amp;C&amp;10 他科コンサルト</oddHeader>
    <oddFooter>&amp;C&amp;8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Q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6" customWidth="1" min="4" max="4"/>
    <col width="20" customWidth="1" min="5" max="5"/>
    <col width="24" customWidth="1" min="6" max="6"/>
    <col width="20" customWidth="1" min="7" max="7"/>
    <col width="16" customWidth="1" min="8" max="8"/>
    <col width="22" customWidth="1" min="9" max="9"/>
    <col width="22" customWidth="1" min="10" max="10"/>
    <col width="16" customWidth="1" min="11" max="11"/>
    <col width="10" customWidth="1" min="12" max="12"/>
    <col width="18" customWidth="1" min="13" max="13"/>
    <col width="28" customWidth="1" min="14" max="14"/>
    <col width="12" customWidth="1" min="15" max="15"/>
    <col width="16" customWidth="1" min="16" max="16"/>
    <col width="40" customWidth="1" min="17" max="17"/>
  </cols>
  <sheetData>
    <row r="1">
      <c r="A1" s="27" t="inlineStr">
        <is>
          <t>患者情報</t>
        </is>
      </c>
      <c r="B1" s="28" t="n"/>
      <c r="C1" s="28" t="n"/>
      <c r="D1" s="29" t="inlineStr">
        <is>
          <t>受診情報</t>
        </is>
      </c>
      <c r="E1" s="30" t="n"/>
      <c r="F1" s="30" t="n"/>
      <c r="G1" s="31" t="inlineStr">
        <is>
          <t>臨床情報</t>
        </is>
      </c>
      <c r="H1" s="32" t="n"/>
      <c r="I1" s="32" t="n"/>
      <c r="J1" s="32" t="n"/>
      <c r="K1" s="32" t="n"/>
      <c r="L1" s="32" t="n"/>
      <c r="M1" s="31" t="inlineStr">
        <is>
          <t>治療</t>
        </is>
      </c>
      <c r="N1" s="32" t="n"/>
      <c r="O1" s="32" t="n"/>
      <c r="P1" s="32" t="n"/>
      <c r="Q1" s="31" t="inlineStr">
        <is>
          <t>その他</t>
        </is>
      </c>
    </row>
    <row r="2">
      <c r="A2" s="33" t="inlineStr">
        <is>
          <t>ID</t>
        </is>
      </c>
      <c r="B2" s="33" t="inlineStr">
        <is>
          <t>年齢</t>
        </is>
      </c>
      <c r="C2" s="33" t="inlineStr">
        <is>
          <t>性別</t>
        </is>
      </c>
      <c r="D2" s="33" t="inlineStr">
        <is>
          <t>初診日</t>
        </is>
      </c>
      <c r="E2" s="33" t="inlineStr">
        <is>
          <t>紹介元</t>
        </is>
      </c>
      <c r="F2" s="33" t="inlineStr">
        <is>
          <t>主訴</t>
        </is>
      </c>
      <c r="G2" s="33" t="inlineStr">
        <is>
          <t>疾患</t>
        </is>
      </c>
      <c r="H2" s="33" t="inlineStr">
        <is>
          <t>病期/Stage</t>
        </is>
      </c>
      <c r="I2" s="33" t="inlineStr">
        <is>
          <t>染色体</t>
        </is>
      </c>
      <c r="J2" s="33" t="inlineStr">
        <is>
          <t>遺伝子</t>
        </is>
      </c>
      <c r="K2" s="33" t="inlineStr">
        <is>
          <t>リスク分類</t>
        </is>
      </c>
      <c r="L2" s="33" t="inlineStr">
        <is>
          <t>PS</t>
        </is>
      </c>
      <c r="M2" s="33" t="inlineStr">
        <is>
          <t>治療区分</t>
        </is>
      </c>
      <c r="N2" s="33" t="inlineStr">
        <is>
          <t>治療レジメン</t>
        </is>
      </c>
      <c r="O2" s="33" t="inlineStr">
        <is>
          <t>転帰</t>
        </is>
      </c>
      <c r="P2" s="33" t="inlineStr">
        <is>
          <t>次回予約日</t>
        </is>
      </c>
      <c r="Q2" s="33" t="inlineStr">
        <is>
          <t>備考</t>
        </is>
      </c>
    </row>
    <row r="3">
      <c r="A3" s="8" t="n"/>
      <c r="B3" s="9" t="n"/>
      <c r="C3" s="9" t="n"/>
      <c r="D3" s="11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1" t="n"/>
      <c r="Q3" s="10" t="n"/>
    </row>
    <row r="4">
      <c r="A4" s="34" t="n"/>
      <c r="B4" s="35" t="n"/>
      <c r="C4" s="35" t="n"/>
      <c r="D4" s="36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  <c r="P4" s="36" t="n"/>
      <c r="Q4" s="37" t="n"/>
    </row>
    <row r="5">
      <c r="A5" s="8" t="n"/>
      <c r="B5" s="9" t="n"/>
      <c r="C5" s="9" t="n"/>
      <c r="D5" s="11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1" t="n"/>
      <c r="Q5" s="10" t="n"/>
    </row>
    <row r="6">
      <c r="A6" s="34" t="n"/>
      <c r="B6" s="35" t="n"/>
      <c r="C6" s="35" t="n"/>
      <c r="D6" s="36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6" t="n"/>
      <c r="Q6" s="37" t="n"/>
    </row>
    <row r="7">
      <c r="A7" s="8" t="n"/>
      <c r="B7" s="9" t="n"/>
      <c r="C7" s="9" t="n"/>
      <c r="D7" s="11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1" t="n"/>
      <c r="Q7" s="10" t="n"/>
    </row>
    <row r="8">
      <c r="A8" s="34" t="n"/>
      <c r="B8" s="35" t="n"/>
      <c r="C8" s="35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6" t="n"/>
      <c r="Q8" s="37" t="n"/>
    </row>
    <row r="9">
      <c r="A9" s="8" t="n"/>
      <c r="B9" s="9" t="n"/>
      <c r="C9" s="9" t="n"/>
      <c r="D9" s="11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1" t="n"/>
      <c r="Q9" s="10" t="n"/>
    </row>
    <row r="10">
      <c r="A10" s="34" t="n"/>
      <c r="B10" s="35" t="n"/>
      <c r="C10" s="35" t="n"/>
      <c r="D10" s="36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6" t="n"/>
      <c r="Q10" s="37" t="n"/>
    </row>
    <row r="11">
      <c r="A11" s="8" t="n"/>
      <c r="B11" s="9" t="n"/>
      <c r="C11" s="9" t="n"/>
      <c r="D11" s="11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1" t="n"/>
      <c r="Q11" s="10" t="n"/>
    </row>
    <row r="12">
      <c r="A12" s="34" t="n"/>
      <c r="B12" s="35" t="n"/>
      <c r="C12" s="35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6" t="n"/>
      <c r="Q12" s="37" t="n"/>
    </row>
    <row r="13">
      <c r="A13" s="8" t="n"/>
      <c r="B13" s="9" t="n"/>
      <c r="C13" s="9" t="n"/>
      <c r="D13" s="11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1" t="n"/>
      <c r="Q13" s="10" t="n"/>
    </row>
    <row r="14">
      <c r="A14" s="34" t="n"/>
      <c r="B14" s="35" t="n"/>
      <c r="C14" s="35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6" t="n"/>
      <c r="Q14" s="37" t="n"/>
    </row>
    <row r="15">
      <c r="A15" s="8" t="n"/>
      <c r="B15" s="9" t="n"/>
      <c r="C15" s="9" t="n"/>
      <c r="D15" s="11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1" t="n"/>
      <c r="Q15" s="10" t="n"/>
    </row>
    <row r="16">
      <c r="A16" s="34" t="n"/>
      <c r="B16" s="35" t="n"/>
      <c r="C16" s="35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6" t="n"/>
      <c r="Q16" s="37" t="n"/>
    </row>
    <row r="17">
      <c r="A17" s="8" t="n"/>
      <c r="B17" s="9" t="n"/>
      <c r="C17" s="9" t="n"/>
      <c r="D17" s="11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1" t="n"/>
      <c r="Q17" s="10" t="n"/>
    </row>
    <row r="18">
      <c r="A18" s="34" t="n"/>
      <c r="B18" s="35" t="n"/>
      <c r="C18" s="35" t="n"/>
      <c r="D18" s="36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6" t="n"/>
      <c r="Q18" s="37" t="n"/>
    </row>
    <row r="19">
      <c r="A19" s="8" t="n"/>
      <c r="B19" s="9" t="n"/>
      <c r="C19" s="9" t="n"/>
      <c r="D19" s="11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1" t="n"/>
      <c r="Q19" s="10" t="n"/>
    </row>
    <row r="20">
      <c r="A20" s="34" t="n"/>
      <c r="B20" s="35" t="n"/>
      <c r="C20" s="35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6" t="n"/>
      <c r="Q20" s="37" t="n"/>
    </row>
    <row r="21">
      <c r="A21" s="8" t="n"/>
      <c r="B21" s="9" t="n"/>
      <c r="C21" s="9" t="n"/>
      <c r="D21" s="11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1" t="n"/>
      <c r="Q21" s="10" t="n"/>
    </row>
    <row r="22">
      <c r="A22" s="34" t="n"/>
      <c r="B22" s="35" t="n"/>
      <c r="C22" s="35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6" t="n"/>
      <c r="Q22" s="37" t="n"/>
    </row>
    <row r="23">
      <c r="A23" s="8" t="n"/>
      <c r="B23" s="9" t="n"/>
      <c r="C23" s="9" t="n"/>
      <c r="D23" s="11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1" t="n"/>
      <c r="Q23" s="10" t="n"/>
    </row>
    <row r="24">
      <c r="A24" s="34" t="n"/>
      <c r="B24" s="35" t="n"/>
      <c r="C24" s="35" t="n"/>
      <c r="D24" s="36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6" t="n"/>
      <c r="Q24" s="37" t="n"/>
    </row>
    <row r="25">
      <c r="A25" s="8" t="n"/>
      <c r="B25" s="9" t="n"/>
      <c r="C25" s="9" t="n"/>
      <c r="D25" s="11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1" t="n"/>
      <c r="Q25" s="10" t="n"/>
    </row>
    <row r="26">
      <c r="A26" s="34" t="n"/>
      <c r="B26" s="35" t="n"/>
      <c r="C26" s="35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6" t="n"/>
      <c r="Q26" s="37" t="n"/>
    </row>
    <row r="27">
      <c r="A27" s="8" t="n"/>
      <c r="B27" s="9" t="n"/>
      <c r="C27" s="9" t="n"/>
      <c r="D27" s="11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1" t="n"/>
      <c r="Q27" s="10" t="n"/>
    </row>
    <row r="28">
      <c r="A28" s="34" t="n"/>
      <c r="B28" s="35" t="n"/>
      <c r="C28" s="35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6" t="n"/>
      <c r="Q28" s="37" t="n"/>
    </row>
    <row r="29">
      <c r="A29" s="8" t="n"/>
      <c r="B29" s="9" t="n"/>
      <c r="C29" s="9" t="n"/>
      <c r="D29" s="11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1" t="n"/>
      <c r="Q29" s="10" t="n"/>
    </row>
    <row r="30">
      <c r="A30" s="34" t="n"/>
      <c r="B30" s="35" t="n"/>
      <c r="C30" s="35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6" t="n"/>
      <c r="Q30" s="37" t="n"/>
    </row>
    <row r="31">
      <c r="A31" s="8" t="n"/>
      <c r="B31" s="9" t="n"/>
      <c r="C31" s="9" t="n"/>
      <c r="D31" s="11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1" t="n"/>
      <c r="Q31" s="10" t="n"/>
    </row>
    <row r="32">
      <c r="A32" s="34" t="n"/>
      <c r="B32" s="35" t="n"/>
      <c r="C32" s="35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6" t="n"/>
      <c r="Q32" s="37" t="n"/>
    </row>
    <row r="33">
      <c r="A33" s="8" t="n"/>
      <c r="B33" s="9" t="n"/>
      <c r="C33" s="9" t="n"/>
      <c r="D33" s="11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1" t="n"/>
      <c r="Q33" s="10" t="n"/>
    </row>
    <row r="34">
      <c r="A34" s="34" t="n"/>
      <c r="B34" s="35" t="n"/>
      <c r="C34" s="35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6" t="n"/>
      <c r="Q34" s="37" t="n"/>
    </row>
    <row r="35">
      <c r="A35" s="8" t="n"/>
      <c r="B35" s="9" t="n"/>
      <c r="C35" s="9" t="n"/>
      <c r="D35" s="11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1" t="n"/>
      <c r="Q35" s="10" t="n"/>
    </row>
    <row r="36">
      <c r="A36" s="34" t="n"/>
      <c r="B36" s="35" t="n"/>
      <c r="C36" s="35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6" t="n"/>
      <c r="Q36" s="37" t="n"/>
    </row>
    <row r="37">
      <c r="A37" s="8" t="n"/>
      <c r="B37" s="9" t="n"/>
      <c r="C37" s="9" t="n"/>
      <c r="D37" s="11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1" t="n"/>
      <c r="Q37" s="10" t="n"/>
    </row>
    <row r="38">
      <c r="A38" s="34" t="n"/>
      <c r="B38" s="35" t="n"/>
      <c r="C38" s="35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6" t="n"/>
      <c r="Q38" s="37" t="n"/>
    </row>
    <row r="39">
      <c r="A39" s="8" t="n"/>
      <c r="B39" s="9" t="n"/>
      <c r="C39" s="9" t="n"/>
      <c r="D39" s="11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1" t="n"/>
      <c r="Q39" s="10" t="n"/>
    </row>
    <row r="40">
      <c r="A40" s="34" t="n"/>
      <c r="B40" s="35" t="n"/>
      <c r="C40" s="35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6" t="n"/>
      <c r="Q40" s="37" t="n"/>
    </row>
    <row r="41">
      <c r="A41" s="8" t="n"/>
      <c r="B41" s="9" t="n"/>
      <c r="C41" s="9" t="n"/>
      <c r="D41" s="11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1" t="n"/>
      <c r="Q41" s="10" t="n"/>
    </row>
    <row r="42">
      <c r="A42" s="34" t="n"/>
      <c r="B42" s="35" t="n"/>
      <c r="C42" s="35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6" t="n"/>
      <c r="Q42" s="37" t="n"/>
    </row>
    <row r="43">
      <c r="A43" s="8" t="n"/>
      <c r="B43" s="9" t="n"/>
      <c r="C43" s="9" t="n"/>
      <c r="D43" s="11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1" t="n"/>
      <c r="Q43" s="10" t="n"/>
    </row>
    <row r="44">
      <c r="A44" s="34" t="n"/>
      <c r="B44" s="35" t="n"/>
      <c r="C44" s="35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6" t="n"/>
      <c r="Q44" s="37" t="n"/>
    </row>
    <row r="45">
      <c r="A45" s="8" t="n"/>
      <c r="B45" s="9" t="n"/>
      <c r="C45" s="9" t="n"/>
      <c r="D45" s="11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1" t="n"/>
      <c r="Q45" s="10" t="n"/>
    </row>
    <row r="46">
      <c r="A46" s="34" t="n"/>
      <c r="B46" s="35" t="n"/>
      <c r="C46" s="35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6" t="n"/>
      <c r="Q46" s="37" t="n"/>
    </row>
    <row r="47">
      <c r="A47" s="8" t="n"/>
      <c r="B47" s="9" t="n"/>
      <c r="C47" s="9" t="n"/>
      <c r="D47" s="11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1" t="n"/>
      <c r="Q47" s="10" t="n"/>
    </row>
    <row r="48">
      <c r="A48" s="34" t="n"/>
      <c r="B48" s="35" t="n"/>
      <c r="C48" s="35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6" t="n"/>
      <c r="Q48" s="37" t="n"/>
    </row>
    <row r="49">
      <c r="A49" s="8" t="n"/>
      <c r="B49" s="9" t="n"/>
      <c r="C49" s="9" t="n"/>
      <c r="D49" s="11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1" t="n"/>
      <c r="Q49" s="10" t="n"/>
    </row>
    <row r="50">
      <c r="A50" s="34" t="n"/>
      <c r="B50" s="35" t="n"/>
      <c r="C50" s="35" t="n"/>
      <c r="D50" s="36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6" t="n"/>
      <c r="Q50" s="37" t="n"/>
    </row>
    <row r="51">
      <c r="A51" s="8" t="n"/>
      <c r="B51" s="9" t="n"/>
      <c r="C51" s="9" t="n"/>
      <c r="D51" s="11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1" t="n"/>
      <c r="Q51" s="10" t="n"/>
    </row>
    <row r="52">
      <c r="A52" s="34" t="n"/>
      <c r="B52" s="35" t="n"/>
      <c r="C52" s="35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6" t="n"/>
      <c r="Q52" s="37" t="n"/>
    </row>
    <row r="53">
      <c r="A53" s="8" t="n"/>
      <c r="B53" s="9" t="n"/>
      <c r="C53" s="9" t="n"/>
      <c r="D53" s="11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1" t="n"/>
      <c r="Q53" s="10" t="n"/>
    </row>
    <row r="54">
      <c r="A54" s="34" t="n"/>
      <c r="B54" s="35" t="n"/>
      <c r="C54" s="35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6" t="n"/>
      <c r="Q54" s="37" t="n"/>
    </row>
    <row r="55">
      <c r="A55" s="8" t="n"/>
      <c r="B55" s="9" t="n"/>
      <c r="C55" s="9" t="n"/>
      <c r="D55" s="11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1" t="n"/>
      <c r="Q55" s="10" t="n"/>
    </row>
    <row r="56">
      <c r="A56" s="34" t="n"/>
      <c r="B56" s="35" t="n"/>
      <c r="C56" s="35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6" t="n"/>
      <c r="Q56" s="37" t="n"/>
    </row>
    <row r="57">
      <c r="A57" s="8" t="n"/>
      <c r="B57" s="9" t="n"/>
      <c r="C57" s="9" t="n"/>
      <c r="D57" s="11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1" t="n"/>
      <c r="Q57" s="10" t="n"/>
    </row>
    <row r="58">
      <c r="A58" s="34" t="n"/>
      <c r="B58" s="35" t="n"/>
      <c r="C58" s="35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6" t="n"/>
      <c r="Q58" s="37" t="n"/>
    </row>
    <row r="59">
      <c r="A59" s="8" t="n"/>
      <c r="B59" s="9" t="n"/>
      <c r="C59" s="9" t="n"/>
      <c r="D59" s="11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1" t="n"/>
      <c r="Q59" s="10" t="n"/>
    </row>
    <row r="60">
      <c r="A60" s="34" t="n"/>
      <c r="B60" s="35" t="n"/>
      <c r="C60" s="35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6" t="n"/>
      <c r="Q60" s="37" t="n"/>
    </row>
    <row r="61">
      <c r="A61" s="8" t="n"/>
      <c r="B61" s="9" t="n"/>
      <c r="C61" s="9" t="n"/>
      <c r="D61" s="11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1" t="n"/>
      <c r="Q61" s="10" t="n"/>
    </row>
    <row r="62">
      <c r="A62" s="34" t="n"/>
      <c r="B62" s="35" t="n"/>
      <c r="C62" s="35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6" t="n"/>
      <c r="Q62" s="37" t="n"/>
    </row>
    <row r="63">
      <c r="A63" s="8" t="n"/>
      <c r="B63" s="9" t="n"/>
      <c r="C63" s="9" t="n"/>
      <c r="D63" s="11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1" t="n"/>
      <c r="Q63" s="10" t="n"/>
    </row>
    <row r="64">
      <c r="A64" s="34" t="n"/>
      <c r="B64" s="35" t="n"/>
      <c r="C64" s="35" t="n"/>
      <c r="D64" s="36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37" t="n"/>
      <c r="O64" s="37" t="n"/>
      <c r="P64" s="36" t="n"/>
      <c r="Q64" s="37" t="n"/>
    </row>
    <row r="65">
      <c r="A65" s="8" t="n"/>
      <c r="B65" s="9" t="n"/>
      <c r="C65" s="9" t="n"/>
      <c r="D65" s="11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1" t="n"/>
      <c r="Q65" s="10" t="n"/>
    </row>
    <row r="66">
      <c r="A66" s="34" t="n"/>
      <c r="B66" s="35" t="n"/>
      <c r="C66" s="35" t="n"/>
      <c r="D66" s="36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37" t="n"/>
      <c r="O66" s="37" t="n"/>
      <c r="P66" s="36" t="n"/>
      <c r="Q66" s="37" t="n"/>
    </row>
    <row r="67">
      <c r="A67" s="8" t="n"/>
      <c r="B67" s="9" t="n"/>
      <c r="C67" s="9" t="n"/>
      <c r="D67" s="11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1" t="n"/>
      <c r="Q67" s="10" t="n"/>
    </row>
    <row r="68">
      <c r="A68" s="34" t="n"/>
      <c r="B68" s="35" t="n"/>
      <c r="C68" s="35" t="n"/>
      <c r="D68" s="36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37" t="n"/>
      <c r="O68" s="37" t="n"/>
      <c r="P68" s="36" t="n"/>
      <c r="Q68" s="37" t="n"/>
    </row>
    <row r="69">
      <c r="A69" s="8" t="n"/>
      <c r="B69" s="9" t="n"/>
      <c r="C69" s="9" t="n"/>
      <c r="D69" s="11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1" t="n"/>
      <c r="Q69" s="10" t="n"/>
    </row>
    <row r="70">
      <c r="A70" s="34" t="n"/>
      <c r="B70" s="35" t="n"/>
      <c r="C70" s="35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6" t="n"/>
      <c r="Q70" s="37" t="n"/>
    </row>
    <row r="71">
      <c r="A71" s="8" t="n"/>
      <c r="B71" s="9" t="n"/>
      <c r="C71" s="9" t="n"/>
      <c r="D71" s="11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1" t="n"/>
      <c r="Q71" s="10" t="n"/>
    </row>
    <row r="72">
      <c r="A72" s="34" t="n"/>
      <c r="B72" s="35" t="n"/>
      <c r="C72" s="35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6" t="n"/>
      <c r="Q72" s="37" t="n"/>
    </row>
    <row r="73">
      <c r="A73" s="8" t="n"/>
      <c r="B73" s="9" t="n"/>
      <c r="C73" s="9" t="n"/>
      <c r="D73" s="11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1" t="n"/>
      <c r="Q73" s="10" t="n"/>
    </row>
    <row r="74">
      <c r="A74" s="34" t="n"/>
      <c r="B74" s="35" t="n"/>
      <c r="C74" s="35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6" t="n"/>
      <c r="Q74" s="37" t="n"/>
    </row>
    <row r="75">
      <c r="A75" s="8" t="n"/>
      <c r="B75" s="9" t="n"/>
      <c r="C75" s="9" t="n"/>
      <c r="D75" s="11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1" t="n"/>
      <c r="Q75" s="10" t="n"/>
    </row>
    <row r="76">
      <c r="A76" s="34" t="n"/>
      <c r="B76" s="35" t="n"/>
      <c r="C76" s="35" t="n"/>
      <c r="D76" s="36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37" t="n"/>
      <c r="O76" s="37" t="n"/>
      <c r="P76" s="36" t="n"/>
      <c r="Q76" s="37" t="n"/>
    </row>
    <row r="77">
      <c r="A77" s="8" t="n"/>
      <c r="B77" s="9" t="n"/>
      <c r="C77" s="9" t="n"/>
      <c r="D77" s="11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1" t="n"/>
      <c r="Q77" s="10" t="n"/>
    </row>
    <row r="78">
      <c r="A78" s="34" t="n"/>
      <c r="B78" s="35" t="n"/>
      <c r="C78" s="35" t="n"/>
      <c r="D78" s="36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6" t="n"/>
      <c r="Q78" s="37" t="n"/>
    </row>
    <row r="79">
      <c r="A79" s="8" t="n"/>
      <c r="B79" s="9" t="n"/>
      <c r="C79" s="9" t="n"/>
      <c r="D79" s="11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1" t="n"/>
      <c r="Q79" s="10" t="n"/>
    </row>
    <row r="80">
      <c r="A80" s="34" t="n"/>
      <c r="B80" s="35" t="n"/>
      <c r="C80" s="35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6" t="n"/>
      <c r="Q80" s="37" t="n"/>
    </row>
    <row r="81">
      <c r="A81" s="8" t="n"/>
      <c r="B81" s="9" t="n"/>
      <c r="C81" s="9" t="n"/>
      <c r="D81" s="11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1" t="n"/>
      <c r="Q81" s="10" t="n"/>
    </row>
    <row r="82">
      <c r="A82" s="34" t="n"/>
      <c r="B82" s="35" t="n"/>
      <c r="C82" s="35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6" t="n"/>
      <c r="Q82" s="37" t="n"/>
    </row>
    <row r="83">
      <c r="A83" s="8" t="n"/>
      <c r="B83" s="9" t="n"/>
      <c r="C83" s="9" t="n"/>
      <c r="D83" s="11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1" t="n"/>
      <c r="Q83" s="10" t="n"/>
    </row>
    <row r="84">
      <c r="A84" s="34" t="n"/>
      <c r="B84" s="35" t="n"/>
      <c r="C84" s="35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6" t="n"/>
      <c r="Q84" s="37" t="n"/>
    </row>
    <row r="85">
      <c r="A85" s="8" t="n"/>
      <c r="B85" s="9" t="n"/>
      <c r="C85" s="9" t="n"/>
      <c r="D85" s="11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1" t="n"/>
      <c r="Q85" s="10" t="n"/>
    </row>
    <row r="86">
      <c r="A86" s="34" t="n"/>
      <c r="B86" s="35" t="n"/>
      <c r="C86" s="35" t="n"/>
      <c r="D86" s="36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37" t="n"/>
      <c r="O86" s="37" t="n"/>
      <c r="P86" s="36" t="n"/>
      <c r="Q86" s="37" t="n"/>
    </row>
    <row r="87">
      <c r="A87" s="8" t="n"/>
      <c r="B87" s="9" t="n"/>
      <c r="C87" s="9" t="n"/>
      <c r="D87" s="11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1" t="n"/>
      <c r="Q87" s="10" t="n"/>
    </row>
    <row r="88">
      <c r="A88" s="34" t="n"/>
      <c r="B88" s="35" t="n"/>
      <c r="C88" s="35" t="n"/>
      <c r="D88" s="36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36" t="n"/>
      <c r="Q88" s="37" t="n"/>
    </row>
    <row r="89">
      <c r="A89" s="8" t="n"/>
      <c r="B89" s="9" t="n"/>
      <c r="C89" s="9" t="n"/>
      <c r="D89" s="11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1" t="n"/>
      <c r="Q89" s="10" t="n"/>
    </row>
    <row r="90">
      <c r="A90" s="34" t="n"/>
      <c r="B90" s="35" t="n"/>
      <c r="C90" s="35" t="n"/>
      <c r="D90" s="36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37" t="n"/>
      <c r="O90" s="37" t="n"/>
      <c r="P90" s="36" t="n"/>
      <c r="Q90" s="37" t="n"/>
    </row>
    <row r="91">
      <c r="A91" s="8" t="n"/>
      <c r="B91" s="9" t="n"/>
      <c r="C91" s="9" t="n"/>
      <c r="D91" s="11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1" t="n"/>
      <c r="Q91" s="10" t="n"/>
    </row>
    <row r="92">
      <c r="A92" s="34" t="n"/>
      <c r="B92" s="35" t="n"/>
      <c r="C92" s="35" t="n"/>
      <c r="D92" s="36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6" t="n"/>
      <c r="Q92" s="37" t="n"/>
    </row>
    <row r="93">
      <c r="A93" s="8" t="n"/>
      <c r="B93" s="9" t="n"/>
      <c r="C93" s="9" t="n"/>
      <c r="D93" s="11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1" t="n"/>
      <c r="Q93" s="10" t="n"/>
    </row>
    <row r="94">
      <c r="A94" s="34" t="n"/>
      <c r="B94" s="35" t="n"/>
      <c r="C94" s="35" t="n"/>
      <c r="D94" s="36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37" t="n"/>
      <c r="O94" s="37" t="n"/>
      <c r="P94" s="36" t="n"/>
      <c r="Q94" s="37" t="n"/>
    </row>
    <row r="95">
      <c r="A95" s="8" t="n"/>
      <c r="B95" s="9" t="n"/>
      <c r="C95" s="9" t="n"/>
      <c r="D95" s="11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1" t="n"/>
      <c r="Q95" s="10" t="n"/>
    </row>
    <row r="96">
      <c r="A96" s="34" t="n"/>
      <c r="B96" s="35" t="n"/>
      <c r="C96" s="35" t="n"/>
      <c r="D96" s="36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  <c r="O96" s="37" t="n"/>
      <c r="P96" s="36" t="n"/>
      <c r="Q96" s="37" t="n"/>
    </row>
    <row r="97">
      <c r="A97" s="8" t="n"/>
      <c r="B97" s="9" t="n"/>
      <c r="C97" s="9" t="n"/>
      <c r="D97" s="11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1" t="n"/>
      <c r="Q97" s="10" t="n"/>
    </row>
    <row r="98">
      <c r="A98" s="34" t="n"/>
      <c r="B98" s="35" t="n"/>
      <c r="C98" s="35" t="n"/>
      <c r="D98" s="36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  <c r="O98" s="37" t="n"/>
      <c r="P98" s="36" t="n"/>
      <c r="Q98" s="37" t="n"/>
    </row>
    <row r="99">
      <c r="A99" s="8" t="n"/>
      <c r="B99" s="9" t="n"/>
      <c r="C99" s="9" t="n"/>
      <c r="D99" s="11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1" t="n"/>
      <c r="Q99" s="10" t="n"/>
    </row>
    <row r="100">
      <c r="A100" s="34" t="n"/>
      <c r="B100" s="35" t="n"/>
      <c r="C100" s="35" t="n"/>
      <c r="D100" s="36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6" t="n"/>
      <c r="Q100" s="37" t="n"/>
    </row>
    <row r="101">
      <c r="A101" s="8" t="n"/>
      <c r="B101" s="9" t="n"/>
      <c r="C101" s="9" t="n"/>
      <c r="D101" s="11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1" t="n"/>
      <c r="Q101" s="10" t="n"/>
    </row>
    <row r="102">
      <c r="A102" s="34" t="n"/>
      <c r="B102" s="35" t="n"/>
      <c r="C102" s="35" t="n"/>
      <c r="D102" s="36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6" t="n"/>
      <c r="Q102" s="37" t="n"/>
    </row>
  </sheetData>
  <autoFilter ref="A2:Q2"/>
  <mergeCells count="4">
    <mergeCell ref="A1:C1"/>
    <mergeCell ref="G1:L1"/>
    <mergeCell ref="M1:P1"/>
    <mergeCell ref="D1:F1"/>
  </mergeCells>
  <conditionalFormatting sqref="M3:M102">
    <cfRule type="cellIs" priority="1" operator="equal" dxfId="0">
      <formula>"自家移植"</formula>
    </cfRule>
    <cfRule type="cellIs" priority="2" operator="equal" dxfId="1">
      <formula>"同種移植"</formula>
    </cfRule>
    <cfRule type="cellIs" priority="3" operator="equal" dxfId="2">
      <formula>"CAR-T"</formula>
    </cfRule>
    <cfRule type="cellIs" priority="4" operator="equal" dxfId="3">
      <formula>"化学療法"</formula>
    </cfRule>
    <cfRule type="cellIs" priority="5" operator="equal" dxfId="4">
      <formula>"分子標的薬"</formula>
    </cfRule>
    <cfRule type="cellIs" priority="6" operator="equal" dxfId="5">
      <formula>"免疫療法"</formula>
    </cfRule>
    <cfRule type="cellIs" priority="7" operator="equal" dxfId="6">
      <formula>"放射線"</formula>
    </cfRule>
    <cfRule type="cellIs" priority="8" operator="equal" dxfId="7">
      <formula>"BSC"</formula>
    </cfRule>
    <cfRule type="cellIs" priority="9" operator="equal" dxfId="8">
      <formula>"経過観察"</formula>
    </cfRule>
  </conditionalFormatting>
  <conditionalFormatting sqref="L3:L102">
    <cfRule type="cellIs" priority="10" operator="equal" dxfId="9">
      <formula>"3"</formula>
    </cfRule>
    <cfRule type="cellIs" priority="11" operator="equal" dxfId="9">
      <formula>"4"</formula>
    </cfRule>
  </conditionalFormatting>
  <conditionalFormatting sqref="O3:O102">
    <cfRule type="cellIs" priority="12" operator="equal" dxfId="1">
      <formula>"CR"</formula>
    </cfRule>
    <cfRule type="cellIs" priority="13" operator="equal" dxfId="1">
      <formula>"CRi"</formula>
    </cfRule>
    <cfRule type="cellIs" priority="14" operator="equal" dxfId="10">
      <formula>"sCR"</formula>
    </cfRule>
    <cfRule type="cellIs" priority="15" operator="equal" dxfId="11">
      <formula>"VGPR"</formula>
    </cfRule>
    <cfRule type="cellIs" priority="16" operator="equal" dxfId="0">
      <formula>"PR"</formula>
    </cfRule>
    <cfRule type="cellIs" priority="17" operator="equal" dxfId="5">
      <formula>"SD"</formula>
    </cfRule>
    <cfRule type="cellIs" priority="18" operator="equal" dxfId="2">
      <formula>"PD"</formula>
    </cfRule>
    <cfRule type="cellIs" priority="19" operator="equal" dxfId="2">
      <formula>"再発"</formula>
    </cfRule>
    <cfRule type="cellIs" priority="20" operator="equal" dxfId="9">
      <formula>"死亡"</formula>
    </cfRule>
    <cfRule type="cellIs" priority="21" operator="equal" dxfId="12">
      <formula>"評価前"</formula>
    </cfRule>
    <cfRule type="cellIs" priority="22" operator="equal" dxfId="12">
      <formula>"N/A"</formula>
    </cfRule>
  </conditionalFormatting>
  <conditionalFormatting sqref="K3:K102">
    <cfRule type="cellIs" priority="23" operator="equal" dxfId="10">
      <formula>"Favorable"</formula>
    </cfRule>
    <cfRule type="cellIs" priority="24" operator="equal" dxfId="10">
      <formula>"Low"</formula>
    </cfRule>
    <cfRule type="cellIs" priority="25" operator="equal" dxfId="0">
      <formula>"Standard"</formula>
    </cfRule>
    <cfRule type="cellIs" priority="26" operator="equal" dxfId="5">
      <formula>"Intermediate"</formula>
    </cfRule>
    <cfRule type="cellIs" priority="27" operator="equal" dxfId="2">
      <formula>"High"</formula>
    </cfRule>
    <cfRule type="cellIs" priority="28" operator="equal" dxfId="9">
      <formula>"Adverse"</formula>
    </cfRule>
    <cfRule type="cellIs" priority="29" operator="equal" dxfId="9">
      <formula>"Very high"</formula>
    </cfRule>
    <cfRule type="cellIs" priority="30" operator="equal" dxfId="12">
      <formula>"N/A"</formula>
    </cfRule>
  </conditionalFormatting>
  <dataValidations count="10">
    <dataValidation sqref="C3:C102" showDropDown="0" showInputMessage="0" showErrorMessage="0" allowBlank="1" errorTitle="入力エラー" error="リストから選択してください" type="list">
      <formula1>sex</formula1>
    </dataValidation>
    <dataValidation sqref="G3:G102" showDropDown="0" showInputMessage="0" showErrorMessage="0" allowBlank="1" errorTitle="入力エラー" error="リストから選択してください" type="list">
      <formula1>disease</formula1>
    </dataValidation>
    <dataValidation sqref="H3:H102" showDropDown="0" showInputMessage="0" showErrorMessage="0" allowBlank="1" errorTitle="入力エラー" error="リストから選択してください" type="list">
      <formula1>stage</formula1>
    </dataValidation>
    <dataValidation sqref="I3:I102" showDropDown="0" showInputMessage="0" showErrorMessage="0" allowBlank="1" errorTitle="入力エラー" error="リストから選択してください" type="list">
      <formula1>cytogenetics</formula1>
    </dataValidation>
    <dataValidation sqref="J3:J102" showDropDown="0" showInputMessage="0" showErrorMessage="0" allowBlank="1" errorTitle="入力エラー" error="リストから選択してください" type="list">
      <formula1>gene</formula1>
    </dataValidation>
    <dataValidation sqref="K3:K102" showDropDown="0" showInputMessage="0" showErrorMessage="0" allowBlank="1" errorTitle="入力エラー" error="リストから選択してください" type="list">
      <formula1>risk</formula1>
    </dataValidation>
    <dataValidation sqref="L3:L102" showDropDown="0" showInputMessage="0" showErrorMessage="0" allowBlank="1" errorTitle="入力エラー" error="リストから選択してください" type="list">
      <formula1>ps</formula1>
    </dataValidation>
    <dataValidation sqref="M3:M102" showDropDown="0" showInputMessage="0" showErrorMessage="0" allowBlank="1" errorTitle="入力エラー" error="リストから選択してください" type="list">
      <formula1>label</formula1>
    </dataValidation>
    <dataValidation sqref="N3:N102" showDropDown="0" showInputMessage="0" showErrorMessage="0" allowBlank="1" errorTitle="入力エラー" error="リストから選択してください" type="list">
      <formula1>regimen</formula1>
    </dataValidation>
    <dataValidation sqref="O3:O102" showDropDown="0" showInputMessage="0" showErrorMessage="0" allowBlank="1" errorTitle="入力エラー" error="リストから選択してください" type="list">
      <formula1>outcome</formula1>
    </dataValidation>
  </dataValidations>
  <pageMargins left="0.4" right="0.4" top="0.5" bottom="0.5" header="0.3" footer="0.3"/>
  <pageSetup orientation="landscape" paperSize="9" fitToHeight="0" fitToWidth="1"/>
  <headerFooter>
    <oddHeader>&amp;C&amp;10 初診外来</oddHeader>
    <oddFooter>&amp;C&amp;8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B2:I9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3" customWidth="1" min="4" max="4"/>
    <col width="24" customWidth="1" min="5" max="5"/>
    <col width="14" customWidth="1" min="6" max="6"/>
    <col width="3" customWidth="1" min="7" max="7"/>
    <col width="24" customWidth="1" min="8" max="8"/>
    <col width="14" customWidth="1" min="9" max="9"/>
  </cols>
  <sheetData>
    <row r="2">
      <c r="B2" s="38" t="inlineStr">
        <is>
          <t>症例管理サマリー</t>
        </is>
      </c>
    </row>
    <row r="4">
      <c r="B4" s="39" t="inlineStr">
        <is>
          <t>入院患者 - 疾患別</t>
        </is>
      </c>
      <c r="C4" s="40" t="n"/>
      <c r="E4" s="39" t="inlineStr">
        <is>
          <t>入院患者 - 治療区分別</t>
        </is>
      </c>
      <c r="F4" s="40" t="n"/>
      <c r="H4" s="39" t="inlineStr">
        <is>
          <t>入院患者 - ステータス別</t>
        </is>
      </c>
      <c r="I4" s="40" t="n"/>
    </row>
    <row r="5">
      <c r="B5" s="41" t="inlineStr">
        <is>
          <t>項目</t>
        </is>
      </c>
      <c r="C5" s="41" t="inlineStr">
        <is>
          <t>件数</t>
        </is>
      </c>
      <c r="E5" s="41" t="inlineStr">
        <is>
          <t>項目</t>
        </is>
      </c>
      <c r="F5" s="41" t="inlineStr">
        <is>
          <t>件数</t>
        </is>
      </c>
      <c r="H5" s="41" t="inlineStr">
        <is>
          <t>項目</t>
        </is>
      </c>
      <c r="I5" s="41" t="inlineStr">
        <is>
          <t>件数</t>
        </is>
      </c>
    </row>
    <row r="6">
      <c r="B6" s="10" t="inlineStr">
        <is>
          <t>AML</t>
        </is>
      </c>
      <c r="C6" s="42">
        <f>COUNTIF('入院患者'!D3:D102,"AML")</f>
        <v/>
      </c>
      <c r="E6" s="10" t="inlineStr">
        <is>
          <t>化学療法</t>
        </is>
      </c>
      <c r="F6" s="42">
        <f>COUNTIF('入院患者'!M3:M102,"化学療法")</f>
        <v/>
      </c>
      <c r="H6" s="10" t="inlineStr">
        <is>
          <t>入院中</t>
        </is>
      </c>
      <c r="I6" s="42">
        <f>COUNTIF('入院患者'!Q3:Q102,"入院中")</f>
        <v/>
      </c>
    </row>
    <row r="7">
      <c r="B7" s="14" t="inlineStr">
        <is>
          <t>ALL</t>
        </is>
      </c>
      <c r="C7" s="43">
        <f>COUNTIF('入院患者'!D3:D102,"ALL")</f>
        <v/>
      </c>
      <c r="E7" s="14" t="inlineStr">
        <is>
          <t>自家移植</t>
        </is>
      </c>
      <c r="F7" s="43">
        <f>COUNTIF('入院患者'!M3:M102,"自家移植")</f>
        <v/>
      </c>
      <c r="H7" s="14" t="inlineStr">
        <is>
          <t>退院済</t>
        </is>
      </c>
      <c r="I7" s="43">
        <f>COUNTIF('入院患者'!Q3:Q102,"退院済")</f>
        <v/>
      </c>
    </row>
    <row r="8">
      <c r="B8" s="10" t="inlineStr">
        <is>
          <t>CML</t>
        </is>
      </c>
      <c r="C8" s="42">
        <f>COUNTIF('入院患者'!D3:D102,"CML")</f>
        <v/>
      </c>
      <c r="E8" s="10" t="inlineStr">
        <is>
          <t>同種移植</t>
        </is>
      </c>
      <c r="F8" s="42">
        <f>COUNTIF('入院患者'!M3:M102,"同種移植")</f>
        <v/>
      </c>
      <c r="H8" s="10" t="inlineStr">
        <is>
          <t>外来移行</t>
        </is>
      </c>
      <c r="I8" s="42">
        <f>COUNTIF('入院患者'!Q3:Q102,"外来移行")</f>
        <v/>
      </c>
    </row>
    <row r="9">
      <c r="B9" s="14" t="inlineStr">
        <is>
          <t>CLL</t>
        </is>
      </c>
      <c r="C9" s="43">
        <f>COUNTIF('入院患者'!D3:D102,"CLL")</f>
        <v/>
      </c>
      <c r="E9" s="14" t="inlineStr">
        <is>
          <t>CAR-T</t>
        </is>
      </c>
      <c r="F9" s="43">
        <f>COUNTIF('入院患者'!M3:M102,"CAR-T")</f>
        <v/>
      </c>
      <c r="H9" s="44" t="inlineStr">
        <is>
          <t>合計</t>
        </is>
      </c>
      <c r="I9" s="45">
        <f>COUNTA('入院患者'!A3:A102)</f>
        <v/>
      </c>
    </row>
    <row r="10">
      <c r="B10" s="10" t="inlineStr">
        <is>
          <t>MDS</t>
        </is>
      </c>
      <c r="C10" s="42">
        <f>COUNTIF('入院患者'!D3:D102,"MDS")</f>
        <v/>
      </c>
      <c r="E10" s="10" t="inlineStr">
        <is>
          <t>分子標的薬</t>
        </is>
      </c>
      <c r="F10" s="42">
        <f>COUNTIF('入院患者'!M3:M102,"分子標的薬")</f>
        <v/>
      </c>
    </row>
    <row r="11">
      <c r="B11" s="14" t="inlineStr">
        <is>
          <t>MPN</t>
        </is>
      </c>
      <c r="C11" s="43">
        <f>COUNTIF('入院患者'!D3:D102,"MPN")</f>
        <v/>
      </c>
      <c r="E11" s="14" t="inlineStr">
        <is>
          <t>免疫療法</t>
        </is>
      </c>
      <c r="F11" s="43">
        <f>COUNTIF('入院患者'!M3:M102,"免疫療法")</f>
        <v/>
      </c>
    </row>
    <row r="12">
      <c r="B12" s="10" t="inlineStr">
        <is>
          <t>CMML</t>
        </is>
      </c>
      <c r="C12" s="42">
        <f>COUNTIF('入院患者'!D3:D102,"CMML")</f>
        <v/>
      </c>
      <c r="E12" s="10" t="inlineStr">
        <is>
          <t>放射線</t>
        </is>
      </c>
      <c r="F12" s="42">
        <f>COUNTIF('入院患者'!M3:M102,"放射線")</f>
        <v/>
      </c>
    </row>
    <row r="13">
      <c r="B13" s="14" t="inlineStr">
        <is>
          <t>DLBCL</t>
        </is>
      </c>
      <c r="C13" s="43">
        <f>COUNTIF('入院患者'!D3:D102,"DLBCL")</f>
        <v/>
      </c>
      <c r="E13" s="14" t="inlineStr">
        <is>
          <t>BSC</t>
        </is>
      </c>
      <c r="F13" s="43">
        <f>COUNTIF('入院患者'!M3:M102,"BSC")</f>
        <v/>
      </c>
    </row>
    <row r="14">
      <c r="B14" s="10" t="inlineStr">
        <is>
          <t>FL</t>
        </is>
      </c>
      <c r="C14" s="42">
        <f>COUNTIF('入院患者'!D3:D102,"FL")</f>
        <v/>
      </c>
      <c r="E14" s="10" t="inlineStr">
        <is>
          <t>経過観察</t>
        </is>
      </c>
      <c r="F14" s="42">
        <f>COUNTIF('入院患者'!M3:M102,"経過観察")</f>
        <v/>
      </c>
    </row>
    <row r="15">
      <c r="B15" s="14" t="inlineStr">
        <is>
          <t>MCL</t>
        </is>
      </c>
      <c r="C15" s="43">
        <f>COUNTIF('入院患者'!D3:D102,"MCL")</f>
        <v/>
      </c>
      <c r="E15" s="44" t="inlineStr">
        <is>
          <t>合計</t>
        </is>
      </c>
      <c r="F15" s="45">
        <f>COUNTA('入院患者'!A3:A102)</f>
        <v/>
      </c>
    </row>
    <row r="16">
      <c r="B16" s="10" t="inlineStr">
        <is>
          <t>BL</t>
        </is>
      </c>
      <c r="C16" s="42">
        <f>COUNTIF('入院患者'!D3:D102,"BL")</f>
        <v/>
      </c>
    </row>
    <row r="17">
      <c r="B17" s="14" t="inlineStr">
        <is>
          <t>MALT</t>
        </is>
      </c>
      <c r="C17" s="43">
        <f>COUNTIF('入院患者'!D3:D102,"MALT")</f>
        <v/>
      </c>
    </row>
    <row r="18">
      <c r="B18" s="10" t="inlineStr">
        <is>
          <t>ATLL</t>
        </is>
      </c>
      <c r="C18" s="42">
        <f>COUNTIF('入院患者'!D3:D102,"ATLL")</f>
        <v/>
      </c>
    </row>
    <row r="19">
      <c r="B19" s="14" t="inlineStr">
        <is>
          <t>PTCL</t>
        </is>
      </c>
      <c r="C19" s="43">
        <f>COUNTIF('入院患者'!D3:D102,"PTCL")</f>
        <v/>
      </c>
    </row>
    <row r="20">
      <c r="B20" s="10" t="inlineStr">
        <is>
          <t>AITL</t>
        </is>
      </c>
      <c r="C20" s="42">
        <f>COUNTIF('入院患者'!D3:D102,"AITL")</f>
        <v/>
      </c>
    </row>
    <row r="21">
      <c r="B21" s="14" t="inlineStr">
        <is>
          <t>NK/T</t>
        </is>
      </c>
      <c r="C21" s="43">
        <f>COUNTIF('入院患者'!D3:D102,"NK/T")</f>
        <v/>
      </c>
    </row>
    <row r="22">
      <c r="B22" s="10" t="inlineStr">
        <is>
          <t>HL</t>
        </is>
      </c>
      <c r="C22" s="42">
        <f>COUNTIF('入院患者'!D3:D102,"HL")</f>
        <v/>
      </c>
    </row>
    <row r="23">
      <c r="B23" s="14" t="inlineStr">
        <is>
          <t>MM</t>
        </is>
      </c>
      <c r="C23" s="43">
        <f>COUNTIF('入院患者'!D3:D102,"MM")</f>
        <v/>
      </c>
    </row>
    <row r="24">
      <c r="B24" s="10" t="inlineStr">
        <is>
          <t>WM</t>
        </is>
      </c>
      <c r="C24" s="42">
        <f>COUNTIF('入院患者'!D3:D102,"WM")</f>
        <v/>
      </c>
    </row>
    <row r="25">
      <c r="B25" s="14" t="inlineStr">
        <is>
          <t>AL amyloidosis</t>
        </is>
      </c>
      <c r="C25" s="43">
        <f>COUNTIF('入院患者'!D3:D102,"AL amyloidosis")</f>
        <v/>
      </c>
    </row>
    <row r="26">
      <c r="B26" s="10" t="inlineStr">
        <is>
          <t>AA</t>
        </is>
      </c>
      <c r="C26" s="42">
        <f>COUNTIF('入院患者'!D3:D102,"AA")</f>
        <v/>
      </c>
    </row>
    <row r="27">
      <c r="B27" s="14" t="inlineStr">
        <is>
          <t>PNH</t>
        </is>
      </c>
      <c r="C27" s="43">
        <f>COUNTIF('入院患者'!D3:D102,"PNH")</f>
        <v/>
      </c>
    </row>
    <row r="28">
      <c r="B28" s="10" t="inlineStr">
        <is>
          <t>ITP</t>
        </is>
      </c>
      <c r="C28" s="42">
        <f>COUNTIF('入院患者'!D3:D102,"ITP")</f>
        <v/>
      </c>
    </row>
    <row r="29">
      <c r="B29" s="14" t="inlineStr">
        <is>
          <t>TTP</t>
        </is>
      </c>
      <c r="C29" s="43">
        <f>COUNTIF('入院患者'!D3:D102,"TTP")</f>
        <v/>
      </c>
    </row>
    <row r="30">
      <c r="B30" s="10" t="inlineStr">
        <is>
          <t>HUS</t>
        </is>
      </c>
      <c r="C30" s="42">
        <f>COUNTIF('入院患者'!D3:D102,"HUS")</f>
        <v/>
      </c>
    </row>
    <row r="31">
      <c r="B31" s="14" t="inlineStr">
        <is>
          <t>DIC</t>
        </is>
      </c>
      <c r="C31" s="43">
        <f>COUNTIF('入院患者'!D3:D102,"DIC")</f>
        <v/>
      </c>
    </row>
    <row r="32">
      <c r="B32" s="10" t="inlineStr">
        <is>
          <t>HLH</t>
        </is>
      </c>
      <c r="C32" s="42">
        <f>COUNTIF('入院患者'!D3:D102,"HLH")</f>
        <v/>
      </c>
    </row>
    <row r="33">
      <c r="B33" s="14" t="inlineStr">
        <is>
          <t>その他</t>
        </is>
      </c>
      <c r="C33" s="43">
        <f>COUNTIF('入院患者'!D3:D102,"その他")</f>
        <v/>
      </c>
    </row>
    <row r="34">
      <c r="B34" s="44" t="inlineStr">
        <is>
          <t>合計</t>
        </is>
      </c>
      <c r="C34" s="45">
        <f>COUNTA('入院患者'!A3:A102)</f>
        <v/>
      </c>
    </row>
    <row r="36">
      <c r="B36" s="39" t="inlineStr">
        <is>
          <t>入院患者 - 転帰別</t>
        </is>
      </c>
      <c r="C36" s="40" t="n"/>
      <c r="E36" s="39" t="inlineStr">
        <is>
          <t>入院患者 - リスク分類別</t>
        </is>
      </c>
      <c r="F36" s="40" t="n"/>
      <c r="H36" s="39" t="inlineStr">
        <is>
          <t>他科コンサルト - 疾患別</t>
        </is>
      </c>
      <c r="I36" s="40" t="n"/>
    </row>
    <row r="37">
      <c r="B37" s="41" t="inlineStr">
        <is>
          <t>項目</t>
        </is>
      </c>
      <c r="C37" s="41" t="inlineStr">
        <is>
          <t>件数</t>
        </is>
      </c>
      <c r="E37" s="41" t="inlineStr">
        <is>
          <t>項目</t>
        </is>
      </c>
      <c r="F37" s="41" t="inlineStr">
        <is>
          <t>件数</t>
        </is>
      </c>
      <c r="H37" s="41" t="inlineStr">
        <is>
          <t>項目</t>
        </is>
      </c>
      <c r="I37" s="41" t="inlineStr">
        <is>
          <t>件数</t>
        </is>
      </c>
    </row>
    <row r="38">
      <c r="B38" s="10" t="inlineStr">
        <is>
          <t>CR</t>
        </is>
      </c>
      <c r="C38" s="42">
        <f>COUNTIF('入院患者'!P3:P102,"CR")</f>
        <v/>
      </c>
      <c r="E38" s="10" t="inlineStr">
        <is>
          <t>Favorable</t>
        </is>
      </c>
      <c r="F38" s="42">
        <f>COUNTIF('入院患者'!H3:H102,"Favorable")</f>
        <v/>
      </c>
      <c r="H38" s="10" t="inlineStr">
        <is>
          <t>AML</t>
        </is>
      </c>
      <c r="I38" s="42">
        <f>COUNTIF('他科コンサルト'!I3:I102,"AML")</f>
        <v/>
      </c>
    </row>
    <row r="39">
      <c r="B39" s="14" t="inlineStr">
        <is>
          <t>CRi</t>
        </is>
      </c>
      <c r="C39" s="43">
        <f>COUNTIF('入院患者'!P3:P102,"CRi")</f>
        <v/>
      </c>
      <c r="E39" s="14" t="inlineStr">
        <is>
          <t>Intermediate</t>
        </is>
      </c>
      <c r="F39" s="43">
        <f>COUNTIF('入院患者'!H3:H102,"Intermediate")</f>
        <v/>
      </c>
      <c r="H39" s="14" t="inlineStr">
        <is>
          <t>ALL</t>
        </is>
      </c>
      <c r="I39" s="43">
        <f>COUNTIF('他科コンサルト'!I3:I102,"ALL")</f>
        <v/>
      </c>
    </row>
    <row r="40">
      <c r="B40" s="10" t="inlineStr">
        <is>
          <t>PR</t>
        </is>
      </c>
      <c r="C40" s="42">
        <f>COUNTIF('入院患者'!P3:P102,"PR")</f>
        <v/>
      </c>
      <c r="E40" s="10" t="inlineStr">
        <is>
          <t>Adverse</t>
        </is>
      </c>
      <c r="F40" s="42">
        <f>COUNTIF('入院患者'!H3:H102,"Adverse")</f>
        <v/>
      </c>
      <c r="H40" s="10" t="inlineStr">
        <is>
          <t>CML</t>
        </is>
      </c>
      <c r="I40" s="42">
        <f>COUNTIF('他科コンサルト'!I3:I102,"CML")</f>
        <v/>
      </c>
    </row>
    <row r="41">
      <c r="B41" s="14" t="inlineStr">
        <is>
          <t>VGPR</t>
        </is>
      </c>
      <c r="C41" s="43">
        <f>COUNTIF('入院患者'!P3:P102,"VGPR")</f>
        <v/>
      </c>
      <c r="E41" s="14" t="inlineStr">
        <is>
          <t>Very high</t>
        </is>
      </c>
      <c r="F41" s="43">
        <f>COUNTIF('入院患者'!H3:H102,"Very high")</f>
        <v/>
      </c>
      <c r="H41" s="14" t="inlineStr">
        <is>
          <t>CLL</t>
        </is>
      </c>
      <c r="I41" s="43">
        <f>COUNTIF('他科コンサルト'!I3:I102,"CLL")</f>
        <v/>
      </c>
    </row>
    <row r="42">
      <c r="B42" s="10" t="inlineStr">
        <is>
          <t>sCR</t>
        </is>
      </c>
      <c r="C42" s="42">
        <f>COUNTIF('入院患者'!P3:P102,"sCR")</f>
        <v/>
      </c>
      <c r="E42" s="10" t="inlineStr">
        <is>
          <t>High</t>
        </is>
      </c>
      <c r="F42" s="42">
        <f>COUNTIF('入院患者'!H3:H102,"High")</f>
        <v/>
      </c>
      <c r="H42" s="10" t="inlineStr">
        <is>
          <t>MDS</t>
        </is>
      </c>
      <c r="I42" s="42">
        <f>COUNTIF('他科コンサルト'!I3:I102,"MDS")</f>
        <v/>
      </c>
    </row>
    <row r="43">
      <c r="B43" s="14" t="inlineStr">
        <is>
          <t>SD</t>
        </is>
      </c>
      <c r="C43" s="43">
        <f>COUNTIF('入院患者'!P3:P102,"SD")</f>
        <v/>
      </c>
      <c r="E43" s="14" t="inlineStr">
        <is>
          <t>Standard</t>
        </is>
      </c>
      <c r="F43" s="43">
        <f>COUNTIF('入院患者'!H3:H102,"Standard")</f>
        <v/>
      </c>
      <c r="H43" s="14" t="inlineStr">
        <is>
          <t>MPN</t>
        </is>
      </c>
      <c r="I43" s="43">
        <f>COUNTIF('他科コンサルト'!I3:I102,"MPN")</f>
        <v/>
      </c>
    </row>
    <row r="44">
      <c r="B44" s="10" t="inlineStr">
        <is>
          <t>PD</t>
        </is>
      </c>
      <c r="C44" s="42">
        <f>COUNTIF('入院患者'!P3:P102,"PD")</f>
        <v/>
      </c>
      <c r="E44" s="10" t="inlineStr">
        <is>
          <t>Low</t>
        </is>
      </c>
      <c r="F44" s="42">
        <f>COUNTIF('入院患者'!H3:H102,"Low")</f>
        <v/>
      </c>
      <c r="H44" s="10" t="inlineStr">
        <is>
          <t>CMML</t>
        </is>
      </c>
      <c r="I44" s="42">
        <f>COUNTIF('他科コンサルト'!I3:I102,"CMML")</f>
        <v/>
      </c>
    </row>
    <row r="45">
      <c r="B45" s="14" t="inlineStr">
        <is>
          <t>再発</t>
        </is>
      </c>
      <c r="C45" s="43">
        <f>COUNTIF('入院患者'!P3:P102,"再発")</f>
        <v/>
      </c>
      <c r="E45" s="14" t="inlineStr">
        <is>
          <t>N/A</t>
        </is>
      </c>
      <c r="F45" s="43">
        <f>COUNTIF('入院患者'!H3:H102,"N/A")</f>
        <v/>
      </c>
      <c r="H45" s="14" t="inlineStr">
        <is>
          <t>DLBCL</t>
        </is>
      </c>
      <c r="I45" s="43">
        <f>COUNTIF('他科コンサルト'!I3:I102,"DLBCL")</f>
        <v/>
      </c>
    </row>
    <row r="46">
      <c r="B46" s="10" t="inlineStr">
        <is>
          <t>死亡</t>
        </is>
      </c>
      <c r="C46" s="42">
        <f>COUNTIF('入院患者'!P3:P102,"死亡")</f>
        <v/>
      </c>
      <c r="E46" s="44" t="inlineStr">
        <is>
          <t>合計</t>
        </is>
      </c>
      <c r="F46" s="45">
        <f>COUNTA('入院患者'!A3:A102)</f>
        <v/>
      </c>
      <c r="H46" s="10" t="inlineStr">
        <is>
          <t>FL</t>
        </is>
      </c>
      <c r="I46" s="42">
        <f>COUNTIF('他科コンサルト'!I3:I102,"FL")</f>
        <v/>
      </c>
    </row>
    <row r="47">
      <c r="B47" s="14" t="inlineStr">
        <is>
          <t>評価前</t>
        </is>
      </c>
      <c r="C47" s="43">
        <f>COUNTIF('入院患者'!P3:P102,"評価前")</f>
        <v/>
      </c>
      <c r="H47" s="14" t="inlineStr">
        <is>
          <t>MCL</t>
        </is>
      </c>
      <c r="I47" s="43">
        <f>COUNTIF('他科コンサルト'!I3:I102,"MCL")</f>
        <v/>
      </c>
    </row>
    <row r="48">
      <c r="B48" s="10" t="inlineStr">
        <is>
          <t>N/A</t>
        </is>
      </c>
      <c r="C48" s="42">
        <f>COUNTIF('入院患者'!P3:P102,"N/A")</f>
        <v/>
      </c>
      <c r="H48" s="10" t="inlineStr">
        <is>
          <t>BL</t>
        </is>
      </c>
      <c r="I48" s="42">
        <f>COUNTIF('他科コンサルト'!I3:I102,"BL")</f>
        <v/>
      </c>
    </row>
    <row r="49">
      <c r="B49" s="44" t="inlineStr">
        <is>
          <t>合計</t>
        </is>
      </c>
      <c r="C49" s="45">
        <f>COUNTA('入院患者'!A3:A102)</f>
        <v/>
      </c>
      <c r="H49" s="14" t="inlineStr">
        <is>
          <t>MALT</t>
        </is>
      </c>
      <c r="I49" s="43">
        <f>COUNTIF('他科コンサルト'!I3:I102,"MALT")</f>
        <v/>
      </c>
    </row>
    <row r="50">
      <c r="H50" s="10" t="inlineStr">
        <is>
          <t>ATLL</t>
        </is>
      </c>
      <c r="I50" s="42">
        <f>COUNTIF('他科コンサルト'!I3:I102,"ATLL")</f>
        <v/>
      </c>
    </row>
    <row r="51">
      <c r="H51" s="14" t="inlineStr">
        <is>
          <t>PTCL</t>
        </is>
      </c>
      <c r="I51" s="43">
        <f>COUNTIF('他科コンサルト'!I3:I102,"PTCL")</f>
        <v/>
      </c>
    </row>
    <row r="52">
      <c r="H52" s="10" t="inlineStr">
        <is>
          <t>AITL</t>
        </is>
      </c>
      <c r="I52" s="42">
        <f>COUNTIF('他科コンサルト'!I3:I102,"AITL")</f>
        <v/>
      </c>
    </row>
    <row r="53">
      <c r="H53" s="14" t="inlineStr">
        <is>
          <t>NK/T</t>
        </is>
      </c>
      <c r="I53" s="43">
        <f>COUNTIF('他科コンサルト'!I3:I102,"NK/T")</f>
        <v/>
      </c>
    </row>
    <row r="54">
      <c r="H54" s="10" t="inlineStr">
        <is>
          <t>HL</t>
        </is>
      </c>
      <c r="I54" s="42">
        <f>COUNTIF('他科コンサルト'!I3:I102,"HL")</f>
        <v/>
      </c>
    </row>
    <row r="55">
      <c r="H55" s="14" t="inlineStr">
        <is>
          <t>MM</t>
        </is>
      </c>
      <c r="I55" s="43">
        <f>COUNTIF('他科コンサルト'!I3:I102,"MM")</f>
        <v/>
      </c>
    </row>
    <row r="56">
      <c r="H56" s="10" t="inlineStr">
        <is>
          <t>WM</t>
        </is>
      </c>
      <c r="I56" s="42">
        <f>COUNTIF('他科コンサルト'!I3:I102,"WM")</f>
        <v/>
      </c>
    </row>
    <row r="57">
      <c r="H57" s="14" t="inlineStr">
        <is>
          <t>AL amyloidosis</t>
        </is>
      </c>
      <c r="I57" s="43">
        <f>COUNTIF('他科コンサルト'!I3:I102,"AL amyloidosis")</f>
        <v/>
      </c>
    </row>
    <row r="58">
      <c r="H58" s="10" t="inlineStr">
        <is>
          <t>AA</t>
        </is>
      </c>
      <c r="I58" s="42">
        <f>COUNTIF('他科コンサルト'!I3:I102,"AA")</f>
        <v/>
      </c>
    </row>
    <row r="59">
      <c r="H59" s="14" t="inlineStr">
        <is>
          <t>PNH</t>
        </is>
      </c>
      <c r="I59" s="43">
        <f>COUNTIF('他科コンサルト'!I3:I102,"PNH")</f>
        <v/>
      </c>
    </row>
    <row r="60">
      <c r="H60" s="10" t="inlineStr">
        <is>
          <t>ITP</t>
        </is>
      </c>
      <c r="I60" s="42">
        <f>COUNTIF('他科コンサルト'!I3:I102,"ITP")</f>
        <v/>
      </c>
    </row>
    <row r="61">
      <c r="H61" s="14" t="inlineStr">
        <is>
          <t>TTP</t>
        </is>
      </c>
      <c r="I61" s="43">
        <f>COUNTIF('他科コンサルト'!I3:I102,"TTP")</f>
        <v/>
      </c>
    </row>
    <row r="62">
      <c r="H62" s="10" t="inlineStr">
        <is>
          <t>HUS</t>
        </is>
      </c>
      <c r="I62" s="42">
        <f>COUNTIF('他科コンサルト'!I3:I102,"HUS")</f>
        <v/>
      </c>
    </row>
    <row r="63">
      <c r="H63" s="14" t="inlineStr">
        <is>
          <t>DIC</t>
        </is>
      </c>
      <c r="I63" s="43">
        <f>COUNTIF('他科コンサルト'!I3:I102,"DIC")</f>
        <v/>
      </c>
    </row>
    <row r="64">
      <c r="H64" s="10" t="inlineStr">
        <is>
          <t>HLH</t>
        </is>
      </c>
      <c r="I64" s="42">
        <f>COUNTIF('他科コンサルト'!I3:I102,"HLH")</f>
        <v/>
      </c>
    </row>
    <row r="65">
      <c r="H65" s="14" t="inlineStr">
        <is>
          <t>その他</t>
        </is>
      </c>
      <c r="I65" s="43">
        <f>COUNTIF('他科コンサルト'!I3:I102,"その他")</f>
        <v/>
      </c>
    </row>
    <row r="66">
      <c r="H66" s="44" t="inlineStr">
        <is>
          <t>合計</t>
        </is>
      </c>
      <c r="I66" s="45">
        <f>COUNTA('他科コンサルト'!A3:A102)</f>
        <v/>
      </c>
    </row>
    <row r="68">
      <c r="B68" s="39" t="inlineStr">
        <is>
          <t>他科コンサルト - 緊急度別</t>
        </is>
      </c>
      <c r="C68" s="40" t="n"/>
      <c r="E68" s="39" t="inlineStr">
        <is>
          <t>初診外来 - 疾患別</t>
        </is>
      </c>
      <c r="F68" s="40" t="n"/>
      <c r="H68" s="39" t="inlineStr">
        <is>
          <t>初診外来 - 転帰別</t>
        </is>
      </c>
      <c r="I68" s="40" t="n"/>
    </row>
    <row r="69">
      <c r="B69" s="41" t="inlineStr">
        <is>
          <t>項目</t>
        </is>
      </c>
      <c r="C69" s="41" t="inlineStr">
        <is>
          <t>件数</t>
        </is>
      </c>
      <c r="E69" s="41" t="inlineStr">
        <is>
          <t>項目</t>
        </is>
      </c>
      <c r="F69" s="41" t="inlineStr">
        <is>
          <t>件数</t>
        </is>
      </c>
      <c r="H69" s="41" t="inlineStr">
        <is>
          <t>項目</t>
        </is>
      </c>
      <c r="I69" s="41" t="inlineStr">
        <is>
          <t>件数</t>
        </is>
      </c>
    </row>
    <row r="70">
      <c r="B70" s="10" t="inlineStr">
        <is>
          <t>緊急</t>
        </is>
      </c>
      <c r="C70" s="42">
        <f>COUNTIF('他科コンサルト'!D3:D102,"緊急")</f>
        <v/>
      </c>
      <c r="E70" s="10" t="inlineStr">
        <is>
          <t>AML</t>
        </is>
      </c>
      <c r="F70" s="42">
        <f>COUNTIF('初診外来'!G3:G102,"AML")</f>
        <v/>
      </c>
      <c r="H70" s="10" t="inlineStr">
        <is>
          <t>CR</t>
        </is>
      </c>
      <c r="I70" s="42">
        <f>COUNTIF('初診外来'!O3:O102,"CR")</f>
        <v/>
      </c>
    </row>
    <row r="71">
      <c r="B71" s="14" t="inlineStr">
        <is>
          <t>通常</t>
        </is>
      </c>
      <c r="C71" s="43">
        <f>COUNTIF('他科コンサルト'!D3:D102,"通常")</f>
        <v/>
      </c>
      <c r="E71" s="14" t="inlineStr">
        <is>
          <t>ALL</t>
        </is>
      </c>
      <c r="F71" s="43">
        <f>COUNTIF('初診外来'!G3:G102,"ALL")</f>
        <v/>
      </c>
      <c r="H71" s="14" t="inlineStr">
        <is>
          <t>CRi</t>
        </is>
      </c>
      <c r="I71" s="43">
        <f>COUNTIF('初診外来'!O3:O102,"CRi")</f>
        <v/>
      </c>
    </row>
    <row r="72">
      <c r="B72" s="44" t="inlineStr">
        <is>
          <t>合計</t>
        </is>
      </c>
      <c r="C72" s="45">
        <f>COUNTA('他科コンサルト'!A3:A102)</f>
        <v/>
      </c>
      <c r="E72" s="10" t="inlineStr">
        <is>
          <t>CML</t>
        </is>
      </c>
      <c r="F72" s="42">
        <f>COUNTIF('初診外来'!G3:G102,"CML")</f>
        <v/>
      </c>
      <c r="H72" s="10" t="inlineStr">
        <is>
          <t>PR</t>
        </is>
      </c>
      <c r="I72" s="42">
        <f>COUNTIF('初診外来'!O3:O102,"PR")</f>
        <v/>
      </c>
    </row>
    <row r="73">
      <c r="E73" s="14" t="inlineStr">
        <is>
          <t>CLL</t>
        </is>
      </c>
      <c r="F73" s="43">
        <f>COUNTIF('初診外来'!G3:G102,"CLL")</f>
        <v/>
      </c>
      <c r="H73" s="14" t="inlineStr">
        <is>
          <t>VGPR</t>
        </is>
      </c>
      <c r="I73" s="43">
        <f>COUNTIF('初診外来'!O3:O102,"VGPR")</f>
        <v/>
      </c>
    </row>
    <row r="74">
      <c r="E74" s="10" t="inlineStr">
        <is>
          <t>MDS</t>
        </is>
      </c>
      <c r="F74" s="42">
        <f>COUNTIF('初診外来'!G3:G102,"MDS")</f>
        <v/>
      </c>
      <c r="H74" s="10" t="inlineStr">
        <is>
          <t>sCR</t>
        </is>
      </c>
      <c r="I74" s="42">
        <f>COUNTIF('初診外来'!O3:O102,"sCR")</f>
        <v/>
      </c>
    </row>
    <row r="75">
      <c r="E75" s="14" t="inlineStr">
        <is>
          <t>MPN</t>
        </is>
      </c>
      <c r="F75" s="43">
        <f>COUNTIF('初診外来'!G3:G102,"MPN")</f>
        <v/>
      </c>
      <c r="H75" s="14" t="inlineStr">
        <is>
          <t>SD</t>
        </is>
      </c>
      <c r="I75" s="43">
        <f>COUNTIF('初診外来'!O3:O102,"SD")</f>
        <v/>
      </c>
    </row>
    <row r="76">
      <c r="E76" s="10" t="inlineStr">
        <is>
          <t>CMML</t>
        </is>
      </c>
      <c r="F76" s="42">
        <f>COUNTIF('初診外来'!G3:G102,"CMML")</f>
        <v/>
      </c>
      <c r="H76" s="10" t="inlineStr">
        <is>
          <t>PD</t>
        </is>
      </c>
      <c r="I76" s="42">
        <f>COUNTIF('初診外来'!O3:O102,"PD")</f>
        <v/>
      </c>
    </row>
    <row r="77">
      <c r="E77" s="14" t="inlineStr">
        <is>
          <t>DLBCL</t>
        </is>
      </c>
      <c r="F77" s="43">
        <f>COUNTIF('初診外来'!G3:G102,"DLBCL")</f>
        <v/>
      </c>
      <c r="H77" s="14" t="inlineStr">
        <is>
          <t>再発</t>
        </is>
      </c>
      <c r="I77" s="43">
        <f>COUNTIF('初診外来'!O3:O102,"再発")</f>
        <v/>
      </c>
    </row>
    <row r="78">
      <c r="E78" s="10" t="inlineStr">
        <is>
          <t>FL</t>
        </is>
      </c>
      <c r="F78" s="42">
        <f>COUNTIF('初診外来'!G3:G102,"FL")</f>
        <v/>
      </c>
      <c r="H78" s="10" t="inlineStr">
        <is>
          <t>死亡</t>
        </is>
      </c>
      <c r="I78" s="42">
        <f>COUNTIF('初診外来'!O3:O102,"死亡")</f>
        <v/>
      </c>
    </row>
    <row r="79">
      <c r="E79" s="14" t="inlineStr">
        <is>
          <t>MCL</t>
        </is>
      </c>
      <c r="F79" s="43">
        <f>COUNTIF('初診外来'!G3:G102,"MCL")</f>
        <v/>
      </c>
      <c r="H79" s="14" t="inlineStr">
        <is>
          <t>評価前</t>
        </is>
      </c>
      <c r="I79" s="43">
        <f>COUNTIF('初診外来'!O3:O102,"評価前")</f>
        <v/>
      </c>
    </row>
    <row r="80">
      <c r="E80" s="10" t="inlineStr">
        <is>
          <t>BL</t>
        </is>
      </c>
      <c r="F80" s="42">
        <f>COUNTIF('初診外来'!G3:G102,"BL")</f>
        <v/>
      </c>
      <c r="H80" s="10" t="inlineStr">
        <is>
          <t>N/A</t>
        </is>
      </c>
      <c r="I80" s="42">
        <f>COUNTIF('初診外来'!O3:O102,"N/A")</f>
        <v/>
      </c>
    </row>
    <row r="81">
      <c r="E81" s="14" t="inlineStr">
        <is>
          <t>MALT</t>
        </is>
      </c>
      <c r="F81" s="43">
        <f>COUNTIF('初診外来'!G3:G102,"MALT")</f>
        <v/>
      </c>
      <c r="H81" s="44" t="inlineStr">
        <is>
          <t>合計</t>
        </is>
      </c>
      <c r="I81" s="45">
        <f>COUNTA('初診外来'!A3:A102)</f>
        <v/>
      </c>
    </row>
    <row r="82">
      <c r="E82" s="10" t="inlineStr">
        <is>
          <t>ATLL</t>
        </is>
      </c>
      <c r="F82" s="42">
        <f>COUNTIF('初診外来'!G3:G102,"ATLL")</f>
        <v/>
      </c>
    </row>
    <row r="83">
      <c r="E83" s="14" t="inlineStr">
        <is>
          <t>PTCL</t>
        </is>
      </c>
      <c r="F83" s="43">
        <f>COUNTIF('初診外来'!G3:G102,"PTCL")</f>
        <v/>
      </c>
    </row>
    <row r="84">
      <c r="E84" s="10" t="inlineStr">
        <is>
          <t>AITL</t>
        </is>
      </c>
      <c r="F84" s="42">
        <f>COUNTIF('初診外来'!G3:G102,"AITL")</f>
        <v/>
      </c>
    </row>
    <row r="85">
      <c r="E85" s="14" t="inlineStr">
        <is>
          <t>NK/T</t>
        </is>
      </c>
      <c r="F85" s="43">
        <f>COUNTIF('初診外来'!G3:G102,"NK/T")</f>
        <v/>
      </c>
    </row>
    <row r="86">
      <c r="E86" s="10" t="inlineStr">
        <is>
          <t>HL</t>
        </is>
      </c>
      <c r="F86" s="42">
        <f>COUNTIF('初診外来'!G3:G102,"HL")</f>
        <v/>
      </c>
    </row>
    <row r="87">
      <c r="E87" s="14" t="inlineStr">
        <is>
          <t>MM</t>
        </is>
      </c>
      <c r="F87" s="43">
        <f>COUNTIF('初診外来'!G3:G102,"MM")</f>
        <v/>
      </c>
    </row>
    <row r="88">
      <c r="E88" s="10" t="inlineStr">
        <is>
          <t>WM</t>
        </is>
      </c>
      <c r="F88" s="42">
        <f>COUNTIF('初診外来'!G3:G102,"WM")</f>
        <v/>
      </c>
    </row>
    <row r="89">
      <c r="E89" s="14" t="inlineStr">
        <is>
          <t>AL amyloidosis</t>
        </is>
      </c>
      <c r="F89" s="43">
        <f>COUNTIF('初診外来'!G3:G102,"AL amyloidosis")</f>
        <v/>
      </c>
    </row>
    <row r="90">
      <c r="E90" s="10" t="inlineStr">
        <is>
          <t>AA</t>
        </is>
      </c>
      <c r="F90" s="42">
        <f>COUNTIF('初診外来'!G3:G102,"AA")</f>
        <v/>
      </c>
    </row>
    <row r="91">
      <c r="E91" s="14" t="inlineStr">
        <is>
          <t>PNH</t>
        </is>
      </c>
      <c r="F91" s="43">
        <f>COUNTIF('初診外来'!G3:G102,"PNH")</f>
        <v/>
      </c>
    </row>
    <row r="92">
      <c r="E92" s="10" t="inlineStr">
        <is>
          <t>ITP</t>
        </is>
      </c>
      <c r="F92" s="42">
        <f>COUNTIF('初診外来'!G3:G102,"ITP")</f>
        <v/>
      </c>
    </row>
    <row r="93">
      <c r="E93" s="14" t="inlineStr">
        <is>
          <t>TTP</t>
        </is>
      </c>
      <c r="F93" s="43">
        <f>COUNTIF('初診外来'!G3:G102,"TTP")</f>
        <v/>
      </c>
    </row>
    <row r="94">
      <c r="E94" s="10" t="inlineStr">
        <is>
          <t>HUS</t>
        </is>
      </c>
      <c r="F94" s="42">
        <f>COUNTIF('初診外来'!G3:G102,"HUS")</f>
        <v/>
      </c>
    </row>
    <row r="95">
      <c r="E95" s="14" t="inlineStr">
        <is>
          <t>DIC</t>
        </is>
      </c>
      <c r="F95" s="43">
        <f>COUNTIF('初診外来'!G3:G102,"DIC")</f>
        <v/>
      </c>
    </row>
    <row r="96">
      <c r="E96" s="10" t="inlineStr">
        <is>
          <t>HLH</t>
        </is>
      </c>
      <c r="F96" s="42">
        <f>COUNTIF('初診外来'!G3:G102,"HLH")</f>
        <v/>
      </c>
    </row>
    <row r="97">
      <c r="E97" s="14" t="inlineStr">
        <is>
          <t>その他</t>
        </is>
      </c>
      <c r="F97" s="43">
        <f>COUNTIF('初診外来'!G3:G102,"その他")</f>
        <v/>
      </c>
    </row>
    <row r="98">
      <c r="E98" s="44" t="inlineStr">
        <is>
          <t>合計</t>
        </is>
      </c>
      <c r="F98" s="45">
        <f>COUNTA('初診外来'!A3:A102)</f>
        <v/>
      </c>
    </row>
  </sheetData>
  <mergeCells count="9">
    <mergeCell ref="H68:I68"/>
    <mergeCell ref="E4:F4"/>
    <mergeCell ref="B68:C68"/>
    <mergeCell ref="E68:F68"/>
    <mergeCell ref="B36:C36"/>
    <mergeCell ref="E36:F36"/>
    <mergeCell ref="H4:I4"/>
    <mergeCell ref="H36:I36"/>
    <mergeCell ref="B4:C4"/>
  </mergeCells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2026-04-05T07:07:11Z</dcterms:created>
  <dcterms:modified xsi:type="dcterms:W3CDTF">2026-04-05T07:07:11Z</dcterms:modified>
</cp:coreProperties>
</file>